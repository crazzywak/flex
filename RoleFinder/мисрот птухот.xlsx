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hres\Manpower\משרות  פתוחות  בפלקס\"/>
    </mc:Choice>
  </mc:AlternateContent>
  <xr:revisionPtr revIDLastSave="0" documentId="13_ncr:81_{B0079B99-8255-4738-8A25-749D8A9EB231}" xr6:coauthVersionLast="47" xr6:coauthVersionMax="47" xr10:uidLastSave="{00000000-0000-0000-0000-000000000000}"/>
  <bookViews>
    <workbookView xWindow="-120" yWindow="-120" windowWidth="29040" windowHeight="15720" xr2:uid="{57E94ED2-BBC7-430E-8947-7CEB116B6964}"/>
  </bookViews>
  <sheets>
    <sheet name="משרות" sheetId="1" r:id="rId1"/>
  </sheets>
  <calcPr calcId="191029"/>
  <customWorkbookViews>
    <customWorkbookView name="Olga Rotman - Personal View" guid="{CC5F2093-3D9D-446F-B0C0-37487A6D96B6}" mergeInterval="0" personalView="1" maximized="1" xWindow="-8" yWindow="-8" windowWidth="1936" windowHeight="1048" activeSheetId="1"/>
    <customWorkbookView name="Kseniya Kholmogorova - Personal View" guid="{45E8F6D7-795F-42D9-AFC0-E53D36C688B0}" mergeInterval="0" personalView="1" maximized="1" xWindow="-11" yWindow="-11" windowWidth="1942" windowHeight="10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1" l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C68" i="1"/>
  <c r="D59" i="1" l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C59" i="1"/>
  <c r="AZ59" i="1" l="1"/>
  <c r="AZ68" i="1" l="1"/>
  <c r="AZ67" i="1"/>
  <c r="AZ66" i="1"/>
  <c r="AZ65" i="1"/>
  <c r="AZ64" i="1"/>
  <c r="AZ63" i="1"/>
  <c r="AZ62" i="1"/>
  <c r="AZ61" i="1"/>
  <c r="AZ60" i="1"/>
  <c r="AZ58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Z2" i="1"/>
  <c r="BA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Rotman</author>
    <author>Irena Wasserman (Manpower at Flex)</author>
    <author>Elena Loskutov (MIG)</author>
  </authors>
  <commentList>
    <comment ref="C2" authorId="0" guid="{ED7BF4CE-F49C-4841-965F-DEE6E3AF6F7E}" shapeId="0" xr:uid="{9CC47183-C7A4-4072-8EAA-B91478EBE146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הלחמה פשוטה. אין צורך בנסיון
</t>
        </r>
      </text>
    </comment>
    <comment ref="H6" authorId="0" guid="{AA7DD315-8BD7-43CF-88DC-D4D56110B254}" shapeId="0" xr:uid="{62E166FD-BE21-4114-BE2A-1E3A59FE0F1E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מרכיב לבוקר+ש"נ, אבל אם יש מישהו יכול לעבוד לילות מדי פעם 
יתרון
ידע בקריאת שרטוטים, מחשב, אנגלית בסיסית
שכר: 38-40 תלוי בנסיון
לזמן ישירות לאדם דרורי
שימו לב, קו 90% עכם עובדים מבוגרים דוברי רוסית....
</t>
        </r>
      </text>
    </comment>
    <comment ref="I6" authorId="0" guid="{D9822848-E0D6-4A36-B447-1F6A5D504AD1}" shapeId="0" xr:uid="{E6A9256C-947E-4B19-B2D9-3EB69631BEC2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מריץ לבוקר+ש"נ, אבל אם יש מישהו יכול לעבוד לילות מדי פעם 
יתרון, מחשב, אנגלית בסיסית
שכר: 38-40 תלוי בנסיון
לזמן ישירות לאדם דרורי
שימו לב, קו 90% עכם עובדים מבוגרים דוברי רוסית....
</t>
        </r>
      </text>
    </comment>
    <comment ref="H8" authorId="0" guid="{10736DE7-FFB7-4B4B-8C7C-0C46C466ECE5}" shapeId="0" xr:uid="{67A3ABE6-DD62-4F86-934C-AA3E1E5A0687}">
      <text>
        <r>
          <rPr>
            <sz val="9"/>
            <color indexed="81"/>
            <rFont val="Tahoma"/>
            <family val="2"/>
          </rPr>
          <t xml:space="preserve">
בוקר + ערב (נכונות לא תמיד  )  + נכונות לשעות נוספות (יומיים בשבוע ~), 
אנגלית ברמה גבוהה,
 כתב יד ברור
</t>
        </r>
      </text>
    </comment>
    <comment ref="I8" authorId="0" guid="{8ACDE7AA-0A52-4E97-94C1-12C251A55E40}" shapeId="0" xr:uid="{0E52B46B-09C2-432E-AC2C-123818AEF640}">
      <text>
        <r>
          <rPr>
            <sz val="9"/>
            <color indexed="81"/>
            <rFont val="Tahoma"/>
            <family val="2"/>
          </rPr>
          <t xml:space="preserve">
בוקר + ערב (נכונות לא תמיד  )  + נכונות לשעות נוספות (יומיים בשבוע ~), 
אנגלית ברמה גבוהה,
 כתב יד ברור
</t>
        </r>
      </text>
    </comment>
    <comment ref="H10" authorId="0" guid="{EB386EB2-9828-4E93-8E04-23EB06D28B81}" shapeId="0" xr:uid="{0B6E92AB-63C0-44B1-8428-26B248788878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מריץ+מרכיב
בוקר+ש"נ
לעבור גם אצל ארתור!!!
</t>
        </r>
      </text>
    </comment>
    <comment ref="B13" authorId="0" guid="{DB1CC78E-BC67-4B2E-AAF1-C05446284FBB}" shapeId="0" xr:uid="{9C73C1B1-3029-4D58-BA4A-26E5AA944FCC}">
      <text>
        <r>
          <rPr>
            <sz val="9"/>
            <color indexed="81"/>
            <rFont val="Tahoma"/>
            <family val="2"/>
          </rPr>
          <t>Olga Rotman:</t>
        </r>
        <r>
          <rPr>
            <b/>
            <i/>
            <sz val="9"/>
            <color indexed="81"/>
            <rFont val="Tahoma"/>
            <family val="2"/>
          </rPr>
          <t xml:space="preserve">
מועמדים עם נסיון. לשלוח קורות חיים לשגיא ינקוביץ'
</t>
        </r>
      </text>
    </comment>
    <comment ref="H17" authorId="0" guid="{A3B10C2D-94A4-465D-B449-0F5A101AF17B}" shapeId="0" xr:uid="{0E342D1C-E426-4013-ADDE-D9C9175686D1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בנים
</t>
        </r>
      </text>
    </comment>
    <comment ref="I17" authorId="0" guid="{D15FC631-74A1-46DE-9654-8CCFFB293F28}" shapeId="0" xr:uid="{47F72125-6858-495B-A9A0-C3A10EE92E71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בנים
</t>
        </r>
      </text>
    </comment>
    <comment ref="B24" authorId="0" guid="{B5D1A233-6BF5-42CE-A6DA-BD02A00AFC1F}" shapeId="0" xr:uid="{8BEF4FAE-45E6-4FCB-A72E-327DD64DB6C5}">
      <text>
        <r>
          <rPr>
            <sz val="9"/>
            <color indexed="81"/>
            <rFont val="Tahoma"/>
            <family val="2"/>
          </rPr>
          <t>Olga Rotman:</t>
        </r>
        <r>
          <rPr>
            <b/>
            <i/>
            <sz val="9"/>
            <color indexed="81"/>
            <rFont val="Tahoma"/>
            <family val="2"/>
          </rPr>
          <t xml:space="preserve">
לשלוח קורות חיים לעודד אפל
</t>
        </r>
      </text>
    </comment>
    <comment ref="B25" authorId="0" guid="{9395BC9C-E02E-4E7D-9AA0-C07C828F0DCB}" shapeId="0" xr:uid="{5230B319-1373-4967-AC5B-631CB9236064}">
      <text>
        <r>
          <rPr>
            <sz val="9"/>
            <color indexed="81"/>
            <rFont val="Tahoma"/>
            <family val="2"/>
          </rPr>
          <t>Olga Rotman:</t>
        </r>
        <r>
          <rPr>
            <b/>
            <i/>
            <sz val="9"/>
            <color indexed="81"/>
            <rFont val="Tahoma"/>
            <family val="2"/>
          </rPr>
          <t xml:space="preserve">
אנגלית - חובה
ברמה אישית טובה
</t>
        </r>
      </text>
    </comment>
    <comment ref="C26" authorId="0" guid="{78F92373-CAAF-4D7A-BF64-F9ECA1A6CE7F}" shapeId="0" xr:uid="{C2DE52D2-1E1A-4BA1-A31D-F3DD46E3BE8F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• ניסיון חובה
• עבודה במשמרות עדיפות
•אפשר גם  משמרת בוקר + שעות נוספות
</t>
        </r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חדש
</t>
        </r>
      </text>
    </comment>
    <comment ref="AL31" authorId="0" guid="{2BF56DF2-2212-4223-81AB-CBE8A3DC9733}" shapeId="0" xr:uid="{F2E5F85A-DDEB-4925-8075-A60BC99489FD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אחת בוקר
שתיים משמרות
</t>
        </r>
      </text>
    </comment>
    <comment ref="P36" authorId="0" guid="{004D36C8-BFF2-41C7-BAC3-D9B2D28E49CD}" shapeId="0" xr:uid="{0A5C1EF8-3D7E-4727-B005-EF8F9D04B76C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מנקה אנטיסטטית
</t>
        </r>
      </text>
    </comment>
    <comment ref="C37" authorId="0" guid="{D1955E6D-021F-4224-888B-4C63EBBB3A07}" shapeId="0" xr:uid="{03C1C6E1-B2DB-427E-AF7D-EEC283F86223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מלחימה מתקנת בוקר
+ש"נ
</t>
        </r>
      </text>
    </comment>
    <comment ref="A42" authorId="0" guid="{412F56F3-C380-4B3D-9D03-773780C30B81}" shapeId="0" xr:uid="{96F40355-9D52-4F04-A18B-F96317E73C28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שירות צבאי, 4 שנים בארץ, אזרחות, נסיון לרוב התפקידים
</t>
        </r>
      </text>
    </comment>
    <comment ref="AF42" authorId="1" guid="{24970CFB-5643-49B9-9FE6-411BA9F16DC2}" shapeId="0" xr:uid="{4F1A7605-AD05-465C-ADB4-53C4C125678A}">
      <text>
        <r>
          <rPr>
            <b/>
            <sz val="9"/>
            <color indexed="81"/>
            <rFont val="Tahoma"/>
            <family val="2"/>
          </rPr>
          <t>Irena Wasserman (Manpower at Flex):</t>
        </r>
        <r>
          <rPr>
            <sz val="9"/>
            <color indexed="81"/>
            <rFont val="Tahoma"/>
            <family val="2"/>
          </rPr>
          <t xml:space="preserve">
דרך רינה
</t>
        </r>
      </text>
    </comment>
    <comment ref="AG42" authorId="0" guid="{4C577273-D4CB-4C53-AA03-62E241041832}" shapeId="0" xr:uid="{38A339E1-7034-4445-87D1-209F852881B4}">
      <text>
        <r>
          <rPr>
            <sz val="9"/>
            <color indexed="81"/>
            <rFont val="Tahoma"/>
            <family val="2"/>
          </rPr>
          <t>Olga Rotman:</t>
        </r>
        <r>
          <rPr>
            <b/>
            <i/>
            <sz val="9"/>
            <color indexed="81"/>
            <rFont val="Tahoma"/>
            <family val="2"/>
          </rPr>
          <t xml:space="preserve">
עד גיל 50
שכר התחלתי 36 ש"ח
Irena Wasserman (Manpower at Flex):
גברים
</t>
        </r>
      </text>
    </comment>
    <comment ref="AH42" authorId="1" guid="{B9938501-233E-497F-8A90-4ED14510B735}" shapeId="0" xr:uid="{6F5D8C41-1530-47FF-89BF-2B079A4A2F4B}">
      <text>
        <r>
          <rPr>
            <b/>
            <sz val="9"/>
            <color indexed="81"/>
            <rFont val="Tahoma"/>
            <family val="2"/>
          </rPr>
          <t>Irena Wasserman (Manpower at Flex):</t>
        </r>
        <r>
          <rPr>
            <sz val="9"/>
            <color indexed="81"/>
            <rFont val="Tahoma"/>
            <family val="2"/>
          </rPr>
          <t xml:space="preserve">
לא דחוף
</t>
        </r>
      </text>
    </comment>
    <comment ref="AJ42" authorId="1" guid="{02391F9C-5CED-421B-AA03-A90EEB5CB7C5}" shapeId="0" xr:uid="{14D0F1A3-3062-4361-A987-2A78331ADA12}">
      <text>
        <r>
          <rPr>
            <b/>
            <sz val="9"/>
            <color indexed="81"/>
            <rFont val="Tahoma"/>
            <family val="2"/>
          </rPr>
          <t>Irena Wasserman (Manpower at Flex):</t>
        </r>
        <r>
          <rPr>
            <sz val="9"/>
            <color indexed="81"/>
            <rFont val="Tahoma"/>
            <family val="2"/>
          </rPr>
          <t xml:space="preserve">
מיסוך חלקים קטנים
נשים
</t>
        </r>
      </text>
    </comment>
    <comment ref="AN42" authorId="0" guid="{DD3FDFEC-DFA8-48B6-B734-F3B51C0C25D2}" shapeId="0" xr:uid="{E2B3F28C-8BC8-4492-BDC5-5D23FA120A5F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מלחים עם נסיון+ מפעיל מכונה. גבר
</t>
        </r>
      </text>
    </comment>
    <comment ref="AU42" authorId="1" guid="{F5E78FA7-8DCA-44E2-A0F9-25F05B875089}" shapeId="0" xr:uid="{DFC8B69B-43B9-498E-B508-8376C627CD8B}">
      <text>
        <r>
          <rPr>
            <b/>
            <sz val="9"/>
            <color indexed="81"/>
            <rFont val="Tahoma"/>
            <family val="2"/>
          </rPr>
          <t>Irena Wasserman (Manpower at Flex):</t>
        </r>
        <r>
          <rPr>
            <sz val="9"/>
            <color indexed="81"/>
            <rFont val="Tahoma"/>
            <family val="2"/>
          </rPr>
          <t xml:space="preserve">
בעל נסיון בבקרת תצורה אצל קבלני משנה. שכר 45 ש"ח
</t>
        </r>
      </text>
    </comment>
    <comment ref="AW42" authorId="1" guid="{E76B84D2-22AF-466E-B7D2-9E7219040809}" shapeId="0" xr:uid="{8C955E1F-A1E2-4C92-8353-EB672D7A35CD}">
      <text>
        <r>
          <rPr>
            <b/>
            <sz val="9"/>
            <color indexed="81"/>
            <rFont val="Tahoma"/>
            <family val="2"/>
          </rPr>
          <t>Irena Wasserman (Manpower at Flex):</t>
        </r>
        <r>
          <rPr>
            <sz val="9"/>
            <color indexed="81"/>
            <rFont val="Tahoma"/>
            <family val="2"/>
          </rPr>
          <t xml:space="preserve">
בעלת נסיון ברפאל או קבלני משנה שמכירה IPC610
שכר עד 50 ₪ לשלוח קורות חיים
</t>
        </r>
      </text>
    </comment>
    <comment ref="AA43" authorId="0" guid="{CF9A44E5-4455-4E29-A33F-70EAC35503BC}" shapeId="0" xr:uid="{01B91065-E06D-4404-8770-4B476C228372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1. חווט מקצועי עדיפות ראשונה .
2. חווט חשמל עדיפות שניה 
3. עובד ללא רקע אך עם נתוני רקע טכני ( יישקל בהתאם לקורות החיים ולראיון העבודה ) 
1. ידע בקריאת שרטוטים מכניים וחשמליים .
2. תקן IPC-620 -יתרון 
3. יכולת עבודה בצוות 
4. ידע בסיסי בעברית ואנגלית 
5. נכונות לעבודה בשעות נוספות .
</t>
        </r>
      </text>
    </comment>
    <comment ref="C45" authorId="0" guid="{74786761-9645-4634-9438-F19AED8160B7}" shapeId="0" xr:uid="{C0C4ADD7-DFA4-4380-ABED-A0C303C25BA9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נסיון בהלחמת רכיבי SMT
שכר: עד 50 ₪ לשעה. אולי גם יותר אם תותחית
</t>
        </r>
      </text>
    </comment>
    <comment ref="M45" authorId="0" guid="{890979AC-B124-4FE2-9A4A-3EEBD18DA8AE}" shapeId="0" xr:uid="{B8BC1178-5616-43A5-A7D0-78F665CD4778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ללא ניסיון למשמרות- 40 ש"ח לשעה 
עם ניסיון למשמרות - 43-47
עם ניסיון משרת בוקר- 50
</t>
        </r>
      </text>
    </comment>
    <comment ref="AD45" authorId="0" guid="{2C15C14D-BED1-4548-8A86-EA0F02011477}" shapeId="0" xr:uid="{543039AC-9DBD-4A4C-8630-8940688E7BCF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התחלתי 40 ₪ לשעה
</t>
        </r>
      </text>
    </comment>
    <comment ref="AC46" authorId="0" guid="{7A57B0CD-43CD-41EE-B028-A3664B585693}" shapeId="0" xr:uid="{9C895495-92CB-498B-B019-E5A4DBBEBD71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1. היכרות וידע טכני בפעילות יצור ב SMT
2. יכולות הדרכת עובדים, הכשרה וליווי עובדים חדשים וקיימים
3. ניסיון מוכח כמפעיל מכונות וציוד בדיקה ב SMT (DEK, P&amp;P,AOI)
4. היכרות עם מכונות YAMAHA/SIEMENS/DEK 
5. יישום שיפורים בתהליכי העבודה
6. יכולת לימדה עצמאית גבוהה
7. דובר רוסית / קריאה באנגלית טכנית
נ.ב – ציפיות שכר מוכרות, נבחן מידת התאמה ובהתאם אגיש הצעה הוגנת
</t>
        </r>
      </text>
    </comment>
    <comment ref="AC47" authorId="0" guid="{8B8301E2-5A3C-4790-8804-D1790E382646}" shapeId="0" xr:uid="{CC34218D-FBAA-4D90-B32F-BD335E236E71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מועמדים מנוסים
• זמינות למשמרות של 12 שעות ונכונות לעבודה בימי שישי / מוצ״ש
• ניסיון בהפעלת קווי SMT
• שכר: 45 ₪ לשעה
* מועמד בעל ניסיון בתחום תמיכה בתהליך – 50 ₪ לשעה
מועמדים ללא ניסיון
• זמינות למשמרות של 12 שעות ונכונות לעבודה בימי שישי / מוצ״ש
• התחייבות לעבודה לטווח ארוך
• גיל: 18–45
• רקע טכני – יתרון
• קריאה באנגלית – חובה | הבנה בסיסית בעברית – יתרון
• שכר: 40 ₪ לשעה
תיאור תמציתי – תפקיד מהנדס/ת תמיכה בתהליך  SMT 
• מתן תמיכה לפתרונות הנדסיים בקווי הייצור
• פתרון תקלות במכונות  SMT
• ייעול ואופטימיזציה של תהליכי ייצור
• עבודה עם תוכנות וממשקי מכונה שונים
• התפקיד מתאים לגברים ולנשים כאחד
</t>
        </r>
      </text>
    </comment>
    <comment ref="S48" authorId="0" guid="{1E86C72E-F971-41EB-A86B-923EA1CD42DB}" shapeId="0" xr:uid="{14E959BC-7553-4FCB-9162-0F7206ACBE9D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קנבסקי
</t>
        </r>
      </text>
    </comment>
    <comment ref="W48" authorId="0" guid="{8BC977A1-1D70-4D19-B4B9-2A45B5767AE7}" shapeId="0" xr:uid="{347F6118-5B25-4A1E-A2D7-A0DE0791DCCE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גבריאל סוס
</t>
        </r>
      </text>
    </comment>
    <comment ref="Y48" authorId="0" guid="{E4EED786-5176-4712-A04E-1DD9D44406C1}" shapeId="0" xr:uid="{28BD238D-024A-4843-B2A7-D09F71A20108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לודים קנבסקי
</t>
        </r>
      </text>
    </comment>
    <comment ref="H52" authorId="0" guid="{42D656D1-329F-4807-9B6C-F00A7EB781D0}" shapeId="0" xr:uid="{0DB6633C-CABD-4A6C-AE32-B6522BC89F3F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4 מרכיבות
2 מרכיבי/ות סט-אפ
</t>
        </r>
      </text>
    </comment>
    <comment ref="K52" authorId="0" guid="{80163198-085A-445A-89FD-35A292FE6669}" shapeId="0" xr:uid="{5C778F96-9CFB-4845-95F0-2931C60B11C3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אפשר בוקר/אפשר משמרות
</t>
        </r>
      </text>
    </comment>
    <comment ref="N52" authorId="0" guid="{51EA26D4-C32D-4A73-8ADD-820A6A27E1CA}" shapeId="0" xr:uid="{37D306FA-A3A5-4265-97AA-0EBCD527086A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מפעיל סלקטיבי - 1
מפעיל חיתוך - 1
</t>
        </r>
      </text>
    </comment>
    <comment ref="C53" authorId="0" guid="{E90673DF-77E5-4C8C-B3CC-DB74320199A3}" shapeId="0" xr:uid="{52734997-01E7-41A4-BEA9-905D8C7B268D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רצוי עם נסיון
</t>
        </r>
      </text>
    </comment>
    <comment ref="K53" authorId="0" guid="{085F7921-A7C6-4624-A307-B12C62697B29}" shapeId="0" xr:uid="{39BA95C3-53B0-4AFC-B10D-11899596CF3F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רצוי עם נסיון
</t>
        </r>
      </text>
    </comment>
    <comment ref="L54" authorId="0" guid="{7E05C1C4-C952-4E57-997E-A1A393E8C524}" shapeId="0" xr:uid="{EED6C41A-9468-4459-9271-01D9690B5DC7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עבודה בעמידה
</t>
        </r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אפשר גם לבוקר
</t>
        </r>
      </text>
    </comment>
    <comment ref="C55" authorId="0" guid="{2455A914-8B80-4A02-9090-0F797D7FFF12}" shapeId="0" xr:uid="{182F3DFD-1415-4268-BBCF-7C216DAE0407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אפשר מלחימות ללא נסיון
</t>
        </r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40 ₪ לשעה
</t>
        </r>
      </text>
    </comment>
    <comment ref="AD55" authorId="0" guid="{6E8CF115-1472-4FE6-AD67-8632B051DC2C}" shapeId="0" xr:uid="{4E342B66-2466-415C-88EB-45F873895F57}">
      <text>
        <r>
          <rPr>
            <sz val="9"/>
            <color indexed="81"/>
            <rFont val="Tahoma"/>
            <family val="2"/>
          </rPr>
          <t>Olga Rotman:</t>
        </r>
        <r>
          <rPr>
            <b/>
            <i/>
            <sz val="9"/>
            <color indexed="81"/>
            <rFont val="Tahoma"/>
            <family val="2"/>
          </rPr>
          <t xml:space="preserve">
ידע טוב במחשב
רצוי נסיון
הבנה טכנית
אנגלית הבנת הנקרא חובה
שכר: עד 38 ₪ (ללא נסיון)
</t>
        </r>
      </text>
    </comment>
    <comment ref="S57" authorId="0" guid="{79D83BF2-9711-4028-828D-B7BA53CC9BAD}" shapeId="0" xr:uid="{FA46DED2-512E-4F54-9239-F53217D65464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טכנאי מעבדה  process support 
דרוש הנדסאי מכונות
עבודה במשמרות
שכר סביב 50 ₪
לשלוח קורות חיים לליאור כהן וליאת נחמיה
</t>
        </r>
      </text>
    </comment>
    <comment ref="I60" authorId="0" guid="{AADAD1BE-2CEA-4CBD-A917-3FF49A164C37}" shapeId="0" xr:uid="{185995FD-6BDD-4236-AFAA-4228027D0086}">
      <text>
        <r>
          <rPr>
            <sz val="9"/>
            <color indexed="81"/>
            <rFont val="Tahoma"/>
            <family val="2"/>
          </rPr>
          <t>Olga Rotman:</t>
        </r>
        <r>
          <rPr>
            <b/>
            <i/>
            <sz val="9"/>
            <color indexed="81"/>
            <rFont val="Tahoma"/>
            <family val="2"/>
          </rPr>
          <t xml:space="preserve">
עושה בדיקה חשמלית וקולט רכיבי SMT
חובה עברית, 
אנגלית סבירה.
בוקר +ש"נ
אפשר בנות.
שכר: 35-37 ₪ לשעה לאיכותי.
</t>
        </r>
      </text>
    </comment>
    <comment ref="W62" authorId="2" guid="{C519B6E9-5131-4DC2-AA94-4556E5896FAC}" shapeId="0" xr:uid="{697FD5F3-28CE-4BB3-B7CB-10FBC4831B57}">
      <text>
        <r>
          <rPr>
            <b/>
            <sz val="9"/>
            <color indexed="81"/>
            <rFont val="Tahoma"/>
            <family val="2"/>
          </rPr>
          <t>Elena Loskutov (MIG):</t>
        </r>
        <r>
          <rPr>
            <sz val="9"/>
            <color indexed="81"/>
            <rFont val="Tahoma"/>
            <family val="2"/>
          </rPr>
          <t xml:space="preserve">
3 בנים למידוף קל לעבודה קבוע (לא מועדפת!!) בוקר + ש"נ 40 ₪ התחלתי
</t>
        </r>
      </text>
    </comment>
    <comment ref="W64" authorId="0" guid="{1C9626AF-C999-44A2-8D95-C26C8F2F2692}" shapeId="0" xr:uid="{EFF9483C-E66C-47E5-8AA5-6F208DAE6A1D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שכר התחלתי 42 ש"ח
</t>
        </r>
      </text>
    </comment>
    <comment ref="W65" authorId="0" guid="{0ABBA800-5E17-45E5-A989-CDFA619286A4}" shapeId="0" xr:uid="{435F0F7D-D7FD-4F00-9F23-1BBBA5832F81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מחסנאי ל NPI
</t>
        </r>
      </text>
    </comment>
    <comment ref="W66" authorId="0" guid="{F5AFFF68-316B-4FDD-B001-69E2ED8585C9}" shapeId="0" xr:uid="{C782DD00-CA8A-44F8-8621-FA130C660FCD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מלגזנים
שכר התחלתי 40 ש"ח
</t>
        </r>
      </text>
    </comment>
    <comment ref="W67" authorId="0" guid="{6C627E3D-A03B-4386-8D2B-0431EFED7FAE}" shapeId="0" xr:uid="{8943D531-2E7B-4588-A3C7-F749BC862896}">
      <text>
        <r>
          <rPr>
            <b/>
            <sz val="9"/>
            <color indexed="81"/>
            <rFont val="Tahoma"/>
            <family val="2"/>
          </rPr>
          <t>Olga Rotman:</t>
        </r>
        <r>
          <rPr>
            <sz val="9"/>
            <color indexed="81"/>
            <rFont val="Tahoma"/>
            <family val="2"/>
          </rPr>
          <t xml:space="preserve">
לבני מקונן מקונן יש משרות בוקר+ ש"נ או משמרות 12/12
</t>
        </r>
      </text>
    </comment>
  </commentList>
</comments>
</file>

<file path=xl/sharedStrings.xml><?xml version="1.0" encoding="utf-8"?>
<sst xmlns="http://schemas.openxmlformats.org/spreadsheetml/2006/main" count="186" uniqueCount="181">
  <si>
    <t xml:space="preserve">מנהל </t>
  </si>
  <si>
    <t>מלחימה</t>
  </si>
  <si>
    <t>QC   TU</t>
  </si>
  <si>
    <t>QC Mech</t>
  </si>
  <si>
    <t xml:space="preserve">QC </t>
  </si>
  <si>
    <t>QC   Pack</t>
  </si>
  <si>
    <t>מרכיב</t>
  </si>
  <si>
    <t>מריץ</t>
  </si>
  <si>
    <t>מריץ ICT/רובוט</t>
  </si>
  <si>
    <t>איש חומר</t>
  </si>
  <si>
    <t>אורז</t>
  </si>
  <si>
    <t>מפעיל SMT</t>
  </si>
  <si>
    <t>מפעיל מכונה/ראוטר/חיתוך</t>
  </si>
  <si>
    <t>מפעיל FP</t>
  </si>
  <si>
    <t>עובד כללי</t>
  </si>
  <si>
    <t>Soldering Wave/SET-UP WAVE</t>
  </si>
  <si>
    <t>טכנאי  בד"ס</t>
  </si>
  <si>
    <t>טכנאי מיטננס</t>
  </si>
  <si>
    <t>טכנאי עמדות</t>
  </si>
  <si>
    <t>אינטגרטור</t>
  </si>
  <si>
    <t>עוזר טכני</t>
  </si>
  <si>
    <t>מחסנאי</t>
  </si>
  <si>
    <t>עובד אחזקה</t>
  </si>
  <si>
    <t>טכנאי אחזקת מכונות</t>
  </si>
  <si>
    <t>חשמלאי</t>
  </si>
  <si>
    <t>חווט</t>
  </si>
  <si>
    <t xml:space="preserve">מפעיל FP </t>
  </si>
  <si>
    <t>תפקיד הנדסי</t>
  </si>
  <si>
    <t>מפעיל X-RAY</t>
  </si>
  <si>
    <t>מנהל קו</t>
  </si>
  <si>
    <t>אחמ"ש</t>
  </si>
  <si>
    <t>ציפוי ספריי</t>
  </si>
  <si>
    <t>ציפוי ידני</t>
  </si>
  <si>
    <t>QC ציפוי</t>
  </si>
  <si>
    <t>מיסוך</t>
  </si>
  <si>
    <t>QC דבק</t>
  </si>
  <si>
    <t>דבק</t>
  </si>
  <si>
    <t>קדם ייצור/ FAI</t>
  </si>
  <si>
    <t>Rework BGA</t>
  </si>
  <si>
    <t>מנהל טכני</t>
  </si>
  <si>
    <t>Degrizer Operator</t>
  </si>
  <si>
    <t>RMA Coordunator</t>
  </si>
  <si>
    <t>Electronics Engineer</t>
  </si>
  <si>
    <t xml:space="preserve">Tech Manager </t>
  </si>
  <si>
    <t>Process Support</t>
  </si>
  <si>
    <t>Pre Production specialist</t>
  </si>
  <si>
    <t>Proccess QA</t>
  </si>
  <si>
    <t>QC FINAL</t>
  </si>
  <si>
    <t>STS</t>
  </si>
  <si>
    <t>QC כבילה</t>
  </si>
  <si>
    <t>ארד דליה</t>
  </si>
  <si>
    <t>תומר ביטון - 054-3955540</t>
  </si>
  <si>
    <t>ACS</t>
  </si>
  <si>
    <t>אינה קולישב שאבו - 054-4721965</t>
  </si>
  <si>
    <t xml:space="preserve"> AST</t>
  </si>
  <si>
    <t>רועי דיאמונט - 054-3206590//אנטולי ביידר 050-8145068</t>
  </si>
  <si>
    <t>Automation AST</t>
  </si>
  <si>
    <t>אלכס מילשטיין -  0546412410    / בוריס קזקויץ' -  052-8314612</t>
  </si>
  <si>
    <t>Gilat</t>
  </si>
  <si>
    <t>אדם דרורי - 054-7374672</t>
  </si>
  <si>
    <t>Applied</t>
  </si>
  <si>
    <t>איגור שומק - 054-3206142</t>
  </si>
  <si>
    <t>Biosence    Tru Pulse     איוון לבדב</t>
  </si>
  <si>
    <t>Biosence  Pump + QDOT   ודים אוסטרובסקי</t>
  </si>
  <si>
    <t>ואדים אוסטרובסקי  -050-714-1787</t>
  </si>
  <si>
    <t>Biosence  Ngen  מיכאלה ארונוב</t>
  </si>
  <si>
    <t>דניאל פושניאק  – 054-5679715</t>
  </si>
  <si>
    <t>Medical (TU)</t>
  </si>
  <si>
    <t>לאונל מנשה - 054-3302171</t>
  </si>
  <si>
    <t>Motorolla</t>
  </si>
  <si>
    <t xml:space="preserve"> רועי רביב -  054-3302181   / תומר ביטון - 054-3955540</t>
  </si>
  <si>
    <t>Camtek</t>
  </si>
  <si>
    <t>שגיא ינקוביץ' - 054-2310503</t>
  </si>
  <si>
    <t xml:space="preserve">Cisco+Cognyte </t>
  </si>
  <si>
    <t>אנדריי ולסנקו - 052-2301063</t>
  </si>
  <si>
    <t>Neuroderm</t>
  </si>
  <si>
    <t>יוסי חן - 054-2310317</t>
  </si>
  <si>
    <t>Boston, פולוג'ין (בניין גפן)</t>
  </si>
  <si>
    <t xml:space="preserve"> נטלי טרזדרוב - 054-3206095</t>
  </si>
  <si>
    <t>Strauss (בניין דקל)</t>
  </si>
  <si>
    <t>יוליה גולוצ'אן - / ארז רונן - 054-4814131</t>
  </si>
  <si>
    <t>Notal</t>
  </si>
  <si>
    <t>אלכס דורפמן - 054-3302154/ אוהד אלבז - 054-3206162</t>
  </si>
  <si>
    <t>Orcam</t>
  </si>
  <si>
    <t>אוהד אלבז - 054-3206162</t>
  </si>
  <si>
    <t xml:space="preserve">HSL  </t>
  </si>
  <si>
    <t>אלי חדד - 054-2310445</t>
  </si>
  <si>
    <t>QM/Saveron</t>
  </si>
  <si>
    <t>אלי בראון - 0543206014</t>
  </si>
  <si>
    <t>Home Skinovation</t>
  </si>
  <si>
    <t>רותי יעקובוב - 050-8131308</t>
  </si>
  <si>
    <t>HP</t>
  </si>
  <si>
    <t>עקיבא נופה - 054-3302162</t>
  </si>
  <si>
    <t xml:space="preserve"> </t>
  </si>
  <si>
    <t>Inmode</t>
  </si>
  <si>
    <t>עודד אפל - 054-3302168</t>
  </si>
  <si>
    <t>Nvidia  NPI</t>
  </si>
  <si>
    <t>לאוניד פצ'רסקי  - 050-8550794/סטניסלב זייגרמחר - 052-9432496/ אייל טייברט - 052-708667</t>
  </si>
  <si>
    <t>Nvidia  Black Mamba</t>
  </si>
  <si>
    <t>אלכס איוונוב - 052-5770674</t>
  </si>
  <si>
    <t>Nvidia  - HCA</t>
  </si>
  <si>
    <t xml:space="preserve">לימור וקסלר  (מריצות) 052-4679486 /  ולנטינה גורבנקו - 053-44440840 / טל פרסלני - 054-4791303 /איגור (מראיין מכניקה) - 054-9094609  </t>
  </si>
  <si>
    <t xml:space="preserve">Nvidia RMA  מעבדה </t>
  </si>
  <si>
    <t>יבגני אורזולוב - 053-2843260</t>
  </si>
  <si>
    <t>Nvidia  SW</t>
  </si>
  <si>
    <t xml:space="preserve">עמית בוגנים - 054-6604115/ לירן גביזון - 054-2310538 / לילך רומנצ'נקו - 054-6665468 </t>
  </si>
  <si>
    <t>Nvidia  Juliett   משמרות 12/12</t>
  </si>
  <si>
    <t>לירן מורנו - 054-5682666/ גלב  סלובודיור- 053-5492614/דימה פופוב - 050-3116183/ערן זליקוביץ - 050-8350851/ איוון גלזר (מריצים) - 053-3331495/ אלכסיי (מרכיב) - 053-3815407</t>
  </si>
  <si>
    <t xml:space="preserve">Mellanox SFG </t>
  </si>
  <si>
    <t>עדן חזן - 054-8085804</t>
  </si>
  <si>
    <t>Nvidia  Juliett  משמרת בוקר</t>
  </si>
  <si>
    <t xml:space="preserve">רוני בירוב - </t>
  </si>
  <si>
    <t>Nvidia Juliett אנשי חומר</t>
  </si>
  <si>
    <t>דוד בן שבת  - 054-4614146</t>
  </si>
  <si>
    <t>Nvidia - Rework RMA</t>
  </si>
  <si>
    <t>מירי גוטמן 050-9591559</t>
  </si>
  <si>
    <t>הנדסת NVIDIA - טכנאי עמדות</t>
  </si>
  <si>
    <t>איציק אלמליח (מנהל) - 052-4209671 / דניאל שרמקו - 052-5457202 / מקסים דובוב (מראיין) - 053-2423563 / קובי קוצ'רו - 050-7271969</t>
  </si>
  <si>
    <t>Nvidia TEC        ( Juliett)</t>
  </si>
  <si>
    <t>Nvidia TEC        (SW)</t>
  </si>
  <si>
    <t xml:space="preserve">מחסן    Nvidia  </t>
  </si>
  <si>
    <t>אדם אלפסי - 0502655730</t>
  </si>
  <si>
    <t xml:space="preserve">        </t>
  </si>
  <si>
    <t>הנדסת תהליך</t>
  </si>
  <si>
    <t>ולדימיר גרודסקי  054-2310327</t>
  </si>
  <si>
    <t xml:space="preserve">Process Support </t>
  </si>
  <si>
    <t>מרט חונונוב - 053-7551299</t>
  </si>
  <si>
    <t>אחזקת בניין</t>
  </si>
  <si>
    <t>סרגיי ספיבק - 0542310439</t>
  </si>
  <si>
    <t>Rafael</t>
  </si>
  <si>
    <t>אילן גונן - 052-8432320/אלכס דקין - 054-3206128</t>
  </si>
  <si>
    <t>Rafael כבלים</t>
  </si>
  <si>
    <t xml:space="preserve"> רוני בלום - 054-9997446</t>
  </si>
  <si>
    <t>רון ארליך - /ולדימיר יארוסלב - 054-3206103</t>
  </si>
  <si>
    <t>SMT</t>
  </si>
  <si>
    <t>מקסים ליכוביץ' - 054-3302194</t>
  </si>
  <si>
    <t>SET-UP</t>
  </si>
  <si>
    <t>SMT מהנדסים</t>
  </si>
  <si>
    <t xml:space="preserve">פנצ'נקו איגור - 0543206837 </t>
  </si>
  <si>
    <t>SMT3</t>
  </si>
  <si>
    <t>גבריאל סוס - 0549420720 /ודים קנבסקי-054-3206419</t>
  </si>
  <si>
    <t>SMT4</t>
  </si>
  <si>
    <t>רוסלן גוצוליאק - 054-2310385</t>
  </si>
  <si>
    <t>Termofisher + נטפים</t>
  </si>
  <si>
    <t>אורטל בן מויאל - 054-3206084</t>
  </si>
  <si>
    <t>KLA</t>
  </si>
  <si>
    <t>רותם פלד - 050-7989290</t>
  </si>
  <si>
    <t>ייצור משלים</t>
  </si>
  <si>
    <t>יונתן גוטליב 054-3206271  לוי אוחנה - 052-5482229</t>
  </si>
  <si>
    <t>כללי1 (Allot,Intel,FlyingPro)</t>
  </si>
  <si>
    <t>אבי קדוש 052-3637972</t>
  </si>
  <si>
    <t>Apple</t>
  </si>
  <si>
    <t>אלדד כהן - 054-2423801/ יגאל גולובנוב - 053-3380177</t>
  </si>
  <si>
    <t>כללי3</t>
  </si>
  <si>
    <t>אלדד כהן - 054-2423801</t>
  </si>
  <si>
    <t>שינוע (דקל)</t>
  </si>
  <si>
    <t xml:space="preserve"> אלכס רוטמן - 054-3206026</t>
  </si>
  <si>
    <t>מחלקה טכנולוגית</t>
  </si>
  <si>
    <t>ליאור כהן</t>
  </si>
  <si>
    <t>קורס הלחמה/מבקרי איכות</t>
  </si>
  <si>
    <t>זיריק לדיז'ינסקי-054-3206141/אולגה-054-7382237</t>
  </si>
  <si>
    <t>סה"כ ייצור</t>
  </si>
  <si>
    <t>ביקורת קבלה - מבקרים</t>
  </si>
  <si>
    <t>ברק פריש - 0524290723</t>
  </si>
  <si>
    <t>מחסן SMT</t>
  </si>
  <si>
    <t xml:space="preserve"> תמיר בזנוס - 054-3206802</t>
  </si>
  <si>
    <t>מחסן TH מידוף קל</t>
  </si>
  <si>
    <t>מחסן קאנבן  NVIDIA</t>
  </si>
  <si>
    <t>מקסים  כהן -  054-3206807</t>
  </si>
  <si>
    <t>מחסן תוצ"ג</t>
  </si>
  <si>
    <t>מקסים כהן - 054-3206807</t>
  </si>
  <si>
    <t>מחסן קידמי ייצור</t>
  </si>
  <si>
    <t>מחסן מידוף כבד</t>
  </si>
  <si>
    <t xml:space="preserve"> יוסי ואנונו - 054-5933477</t>
  </si>
  <si>
    <t xml:space="preserve">   </t>
  </si>
  <si>
    <t>ביקורת קבלה</t>
  </si>
  <si>
    <t>בני מקונן- 054-3206129</t>
  </si>
  <si>
    <t>סה"כ מחסנים</t>
  </si>
  <si>
    <r>
      <t xml:space="preserve">מראיין </t>
    </r>
    <r>
      <rPr>
        <b/>
        <sz val="10"/>
        <color rgb="FFFF0000"/>
        <rFont val="David"/>
        <family val="2"/>
      </rPr>
      <t>עומר אומרוב</t>
    </r>
    <r>
      <rPr>
        <b/>
        <sz val="10"/>
        <color rgb="FF000000"/>
        <rFont val="David"/>
        <family val="2"/>
        <charset val="177"/>
      </rPr>
      <t xml:space="preserve"> , לרשום תחת  </t>
    </r>
    <r>
      <rPr>
        <b/>
        <sz val="10"/>
        <color rgb="FFFF0000"/>
        <rFont val="David"/>
        <family val="2"/>
      </rPr>
      <t>ירדן לנגבורד</t>
    </r>
  </si>
  <si>
    <r>
      <t>יבגני זוסמן - 050-5882440/</t>
    </r>
    <r>
      <rPr>
        <b/>
        <sz val="10"/>
        <color rgb="FFFF0000"/>
        <rFont val="David"/>
        <family val="2"/>
      </rPr>
      <t>יוסי חן  - 054-2310317</t>
    </r>
    <r>
      <rPr>
        <b/>
        <sz val="10"/>
        <color rgb="FF000000"/>
        <rFont val="David"/>
        <family val="2"/>
        <charset val="177"/>
      </rPr>
      <t>/ אנסטסיה - 054-2500349 / ולריה סזונוב - 058-7878141/ זוהר בלקין - 052-4240415</t>
    </r>
  </si>
  <si>
    <t>איוון לבדב - 053-4284481 /איתי מורדכי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</si>
</sst>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name val="David"/>
      <family val="2"/>
      <charset val="177"/>
    </font>
    <font>
      <b/>
      <sz val="11"/>
      <color rgb="FF000000"/>
      <name val="David"/>
      <family val="2"/>
      <charset val="177"/>
    </font>
    <font>
      <b/>
      <sz val="10"/>
      <name val="David"/>
      <family val="2"/>
      <charset val="177"/>
    </font>
    <font>
      <b/>
      <sz val="10"/>
      <color rgb="FF000000"/>
      <name val="David"/>
      <family val="2"/>
      <charset val="177"/>
    </font>
    <font>
      <b/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i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0"/>
      <color rgb="FFFF0000"/>
      <name val="David"/>
      <family val="2"/>
    </font>
    <font>
      <sz val="12"/>
      <name val="David"/>
      <family val="2"/>
      <charset val="177"/>
    </font>
    <font>
      <b/>
      <sz val="11"/>
      <color rgb="FFFF0000"/>
      <name val="David"/>
      <family val="2"/>
      <charset val="177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David"/>
      <family val="2"/>
      <charset val="177"/>
    </font>
    <font>
      <b/>
      <sz val="12"/>
      <color rgb="FF000000"/>
      <name val="David"/>
      <family val="2"/>
      <charset val="177"/>
    </font>
    <font>
      <sz val="10"/>
      <color rgb="FF000000"/>
      <name val="David"/>
      <family val="2"/>
      <charset val="177"/>
    </font>
    <font>
      <b/>
      <sz val="11"/>
      <color rgb="FFD9D9D9"/>
      <name val="David"/>
      <family val="2"/>
      <charset val="177"/>
    </font>
    <font>
      <b/>
      <sz val="12"/>
      <color rgb="FF44546A"/>
      <name val="David"/>
      <family val="2"/>
      <charset val="177"/>
    </font>
    <font>
      <b/>
      <sz val="14"/>
      <color rgb="FF000000"/>
      <name val="David"/>
      <family val="2"/>
      <charset val="177"/>
    </font>
    <font>
      <b/>
      <sz val="16"/>
      <color rgb="FF00000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10" xfId="0" applyFont="1" applyBorder="1"/>
    <xf numFmtId="0" fontId="6" fillId="0" borderId="10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7" fillId="0" borderId="16" xfId="0" applyFont="1" applyBorder="1"/>
    <xf numFmtId="0" fontId="5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5" fillId="0" borderId="18" xfId="0" applyFont="1" applyBorder="1"/>
    <xf numFmtId="0" fontId="1" fillId="0" borderId="21" xfId="0" applyFont="1" applyBorder="1"/>
    <xf numFmtId="0" fontId="7" fillId="0" borderId="18" xfId="0" applyFont="1" applyBorder="1"/>
    <xf numFmtId="0" fontId="1" fillId="0" borderId="4" xfId="0" applyFont="1" applyBorder="1"/>
    <xf numFmtId="0" fontId="3" fillId="0" borderId="1" xfId="0" applyFont="1" applyBorder="1"/>
    <xf numFmtId="0" fontId="1" fillId="0" borderId="19" xfId="0" applyFont="1" applyBorder="1"/>
    <xf numFmtId="0" fontId="1" fillId="0" borderId="20" xfId="0" applyFont="1" applyBorder="1"/>
    <xf numFmtId="0" fontId="5" fillId="0" borderId="19" xfId="0" applyFont="1" applyBorder="1"/>
    <xf numFmtId="0" fontId="5" fillId="0" borderId="20" xfId="0" applyFont="1" applyBorder="1"/>
    <xf numFmtId="0" fontId="8" fillId="0" borderId="1" xfId="0" applyFont="1" applyBorder="1"/>
    <xf numFmtId="0" fontId="5" fillId="0" borderId="21" xfId="0" applyFont="1" applyBorder="1"/>
    <xf numFmtId="0" fontId="9" fillId="0" borderId="1" xfId="0" applyFont="1" applyBorder="1"/>
    <xf numFmtId="0" fontId="3" fillId="0" borderId="18" xfId="0" applyFont="1" applyBorder="1"/>
    <xf numFmtId="0" fontId="11" fillId="0" borderId="18" xfId="0" applyFont="1" applyBorder="1"/>
    <xf numFmtId="0" fontId="12" fillId="0" borderId="1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6" fillId="0" borderId="27" xfId="0" applyFont="1" applyBorder="1"/>
    <xf numFmtId="0" fontId="5" fillId="0" borderId="4" xfId="0" applyFont="1" applyBorder="1"/>
    <xf numFmtId="0" fontId="7" fillId="0" borderId="4" xfId="0" applyFont="1" applyBorder="1"/>
    <xf numFmtId="0" fontId="3" fillId="0" borderId="4" xfId="0" applyFont="1" applyBorder="1"/>
    <xf numFmtId="0" fontId="6" fillId="0" borderId="4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/>
    <xf numFmtId="0" fontId="5" fillId="0" borderId="44" xfId="0" applyFont="1" applyBorder="1"/>
    <xf numFmtId="0" fontId="6" fillId="0" borderId="44" xfId="0" applyFont="1" applyBorder="1"/>
    <xf numFmtId="0" fontId="3" fillId="0" borderId="24" xfId="0" applyFont="1" applyBorder="1"/>
    <xf numFmtId="14" fontId="16" fillId="0" borderId="2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4" fillId="2" borderId="7" xfId="0" applyFont="1" applyFill="1" applyBorder="1" applyAlignment="1">
      <alignment horizontal="left" vertical="top"/>
    </xf>
    <xf numFmtId="0" fontId="4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7" fillId="0" borderId="10" xfId="0" applyFont="1" applyBorder="1"/>
    <xf numFmtId="0" fontId="16" fillId="0" borderId="11" xfId="0" applyFont="1" applyBorder="1"/>
    <xf numFmtId="0" fontId="18" fillId="0" borderId="10" xfId="0" applyFont="1" applyBorder="1"/>
    <xf numFmtId="0" fontId="16" fillId="0" borderId="10" xfId="0" applyFont="1" applyBorder="1"/>
    <xf numFmtId="0" fontId="18" fillId="0" borderId="15" xfId="0" applyFont="1" applyBorder="1"/>
    <xf numFmtId="0" fontId="4" fillId="2" borderId="7" xfId="0" applyFont="1" applyFill="1" applyBorder="1"/>
    <xf numFmtId="0" fontId="4" fillId="0" borderId="17" xfId="0" applyFont="1" applyBorder="1"/>
    <xf numFmtId="0" fontId="18" fillId="0" borderId="18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8" fillId="0" borderId="16" xfId="0" applyFont="1" applyBorder="1"/>
    <xf numFmtId="0" fontId="4" fillId="4" borderId="17" xfId="0" applyFont="1" applyFill="1" applyBorder="1"/>
    <xf numFmtId="0" fontId="2" fillId="0" borderId="1" xfId="0" applyFont="1" applyBorder="1"/>
    <xf numFmtId="0" fontId="16" fillId="0" borderId="0" xfId="0" applyFont="1"/>
    <xf numFmtId="0" fontId="18" fillId="0" borderId="22" xfId="0" applyFont="1" applyBorder="1"/>
    <xf numFmtId="0" fontId="4" fillId="2" borderId="17" xfId="0" applyFont="1" applyFill="1" applyBorder="1"/>
    <xf numFmtId="0" fontId="17" fillId="2" borderId="0" xfId="0" applyFont="1" applyFill="1"/>
    <xf numFmtId="0" fontId="5" fillId="2" borderId="1" xfId="0" applyFont="1" applyFill="1" applyBorder="1"/>
    <xf numFmtId="0" fontId="4" fillId="5" borderId="7" xfId="0" applyFont="1" applyFill="1" applyBorder="1"/>
    <xf numFmtId="0" fontId="17" fillId="3" borderId="1" xfId="0" applyFont="1" applyFill="1" applyBorder="1"/>
    <xf numFmtId="0" fontId="2" fillId="2" borderId="18" xfId="0" applyFont="1" applyFill="1" applyBorder="1"/>
    <xf numFmtId="0" fontId="2" fillId="0" borderId="21" xfId="0" applyFont="1" applyBorder="1"/>
    <xf numFmtId="0" fontId="4" fillId="0" borderId="16" xfId="0" applyFont="1" applyBorder="1"/>
    <xf numFmtId="0" fontId="17" fillId="0" borderId="18" xfId="0" applyFont="1" applyBorder="1"/>
    <xf numFmtId="0" fontId="6" fillId="2" borderId="1" xfId="0" applyFont="1" applyFill="1" applyBorder="1"/>
    <xf numFmtId="0" fontId="6" fillId="3" borderId="1" xfId="0" applyFont="1" applyFill="1" applyBorder="1"/>
    <xf numFmtId="0" fontId="2" fillId="0" borderId="18" xfId="0" applyFont="1" applyBorder="1"/>
    <xf numFmtId="0" fontId="17" fillId="2" borderId="1" xfId="0" applyFont="1" applyFill="1" applyBorder="1"/>
    <xf numFmtId="0" fontId="5" fillId="3" borderId="1" xfId="0" applyFont="1" applyFill="1" applyBorder="1"/>
    <xf numFmtId="0" fontId="2" fillId="3" borderId="0" xfId="0" applyFont="1" applyFill="1"/>
    <xf numFmtId="0" fontId="16" fillId="0" borderId="18" xfId="0" applyFont="1" applyBorder="1"/>
    <xf numFmtId="0" fontId="16" fillId="0" borderId="23" xfId="0" applyFont="1" applyBorder="1"/>
    <xf numFmtId="0" fontId="18" fillId="0" borderId="21" xfId="0" applyFont="1" applyBorder="1"/>
    <xf numFmtId="0" fontId="4" fillId="0" borderId="17" xfId="0" applyFont="1" applyBorder="1" applyAlignment="1">
      <alignment horizontal="right" vertical="top"/>
    </xf>
    <xf numFmtId="0" fontId="4" fillId="4" borderId="17" xfId="0" applyFont="1" applyFill="1" applyBorder="1" applyAlignment="1">
      <alignment vertical="top" wrapText="1"/>
    </xf>
    <xf numFmtId="0" fontId="4" fillId="2" borderId="17" xfId="0" applyFont="1" applyFill="1" applyBorder="1" applyAlignment="1">
      <alignment vertical="top" wrapText="1"/>
    </xf>
    <xf numFmtId="0" fontId="5" fillId="2" borderId="18" xfId="0" applyFont="1" applyFill="1" applyBorder="1"/>
    <xf numFmtId="0" fontId="4" fillId="2" borderId="17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/>
    </xf>
    <xf numFmtId="0" fontId="2" fillId="5" borderId="17" xfId="0" applyFont="1" applyFill="1" applyBorder="1"/>
    <xf numFmtId="0" fontId="2" fillId="0" borderId="17" xfId="0" applyFont="1" applyBorder="1"/>
    <xf numFmtId="0" fontId="19" fillId="0" borderId="1" xfId="0" applyFont="1" applyBorder="1"/>
    <xf numFmtId="0" fontId="5" fillId="4" borderId="24" xfId="0" applyFont="1" applyFill="1" applyBorder="1"/>
    <xf numFmtId="0" fontId="5" fillId="4" borderId="1" xfId="0" applyFont="1" applyFill="1" applyBorder="1"/>
    <xf numFmtId="0" fontId="12" fillId="3" borderId="1" xfId="0" applyFont="1" applyFill="1" applyBorder="1"/>
    <xf numFmtId="0" fontId="6" fillId="4" borderId="1" xfId="0" applyFont="1" applyFill="1" applyBorder="1"/>
    <xf numFmtId="0" fontId="16" fillId="0" borderId="16" xfId="0" applyFont="1" applyBorder="1"/>
    <xf numFmtId="0" fontId="5" fillId="4" borderId="18" xfId="0" applyFont="1" applyFill="1" applyBorder="1"/>
    <xf numFmtId="0" fontId="1" fillId="3" borderId="1" xfId="0" applyFont="1" applyFill="1" applyBorder="1"/>
    <xf numFmtId="0" fontId="2" fillId="0" borderId="17" xfId="0" applyFont="1" applyBorder="1" applyAlignment="1">
      <alignment horizontal="right" vertical="center" readingOrder="2"/>
    </xf>
    <xf numFmtId="14" fontId="4" fillId="0" borderId="17" xfId="0" applyNumberFormat="1" applyFont="1" applyBorder="1" applyAlignment="1">
      <alignment horizontal="right" vertical="center" wrapText="1"/>
    </xf>
    <xf numFmtId="0" fontId="16" fillId="0" borderId="25" xfId="0" applyFont="1" applyBorder="1"/>
    <xf numFmtId="0" fontId="16" fillId="0" borderId="26" xfId="0" applyFont="1" applyBorder="1"/>
    <xf numFmtId="0" fontId="17" fillId="0" borderId="4" xfId="0" applyFont="1" applyBorder="1"/>
    <xf numFmtId="0" fontId="16" fillId="0" borderId="4" xfId="0" applyFont="1" applyBorder="1"/>
    <xf numFmtId="0" fontId="6" fillId="3" borderId="4" xfId="0" applyFont="1" applyFill="1" applyBorder="1"/>
    <xf numFmtId="0" fontId="4" fillId="0" borderId="31" xfId="0" applyFont="1" applyBorder="1"/>
    <xf numFmtId="0" fontId="5" fillId="4" borderId="4" xfId="0" applyFont="1" applyFill="1" applyBorder="1"/>
    <xf numFmtId="0" fontId="4" fillId="0" borderId="32" xfId="0" applyFont="1" applyBorder="1"/>
    <xf numFmtId="0" fontId="6" fillId="2" borderId="33" xfId="0" applyFont="1" applyFill="1" applyBorder="1"/>
    <xf numFmtId="0" fontId="16" fillId="0" borderId="34" xfId="0" applyFont="1" applyBorder="1"/>
    <xf numFmtId="0" fontId="16" fillId="0" borderId="36" xfId="0" applyFont="1" applyBorder="1"/>
    <xf numFmtId="0" fontId="4" fillId="0" borderId="40" xfId="0" applyFont="1" applyBorder="1"/>
    <xf numFmtId="0" fontId="4" fillId="0" borderId="41" xfId="0" applyFont="1" applyBorder="1"/>
    <xf numFmtId="0" fontId="18" fillId="0" borderId="42" xfId="0" applyFont="1" applyBorder="1"/>
    <xf numFmtId="0" fontId="17" fillId="0" borderId="43" xfId="0" applyFont="1" applyBorder="1"/>
    <xf numFmtId="0" fontId="18" fillId="0" borderId="5" xfId="0" applyFont="1" applyBorder="1"/>
    <xf numFmtId="0" fontId="4" fillId="4" borderId="9" xfId="0" applyFont="1" applyFill="1" applyBorder="1"/>
    <xf numFmtId="0" fontId="4" fillId="6" borderId="15" xfId="0" applyFont="1" applyFill="1" applyBorder="1"/>
    <xf numFmtId="0" fontId="18" fillId="0" borderId="44" xfId="0" applyFont="1" applyBorder="1"/>
    <xf numFmtId="0" fontId="2" fillId="0" borderId="44" xfId="0" applyFont="1" applyBorder="1"/>
    <xf numFmtId="0" fontId="4" fillId="0" borderId="44" xfId="0" applyFont="1" applyBorder="1"/>
    <xf numFmtId="0" fontId="18" fillId="0" borderId="12" xfId="0" applyFont="1" applyBorder="1"/>
    <xf numFmtId="0" fontId="18" fillId="0" borderId="8" xfId="0" applyFont="1" applyBorder="1"/>
    <xf numFmtId="0" fontId="4" fillId="2" borderId="18" xfId="0" applyFont="1" applyFill="1" applyBorder="1"/>
    <xf numFmtId="0" fontId="4" fillId="0" borderId="45" xfId="0" applyFont="1" applyBorder="1"/>
    <xf numFmtId="0" fontId="18" fillId="0" borderId="19" xfId="0" applyFont="1" applyBorder="1"/>
    <xf numFmtId="0" fontId="18" fillId="0" borderId="45" xfId="0" applyFont="1" applyBorder="1"/>
    <xf numFmtId="0" fontId="18" fillId="0" borderId="20" xfId="0" applyFont="1" applyBorder="1"/>
    <xf numFmtId="0" fontId="4" fillId="4" borderId="17" xfId="0" applyFont="1" applyFill="1" applyBorder="1" applyAlignment="1">
      <alignment horizontal="right" vertical="top" wrapText="1"/>
    </xf>
    <xf numFmtId="0" fontId="4" fillId="6" borderId="45" xfId="0" applyFont="1" applyFill="1" applyBorder="1"/>
    <xf numFmtId="0" fontId="4" fillId="2" borderId="18" xfId="0" applyFont="1" applyFill="1" applyBorder="1" applyAlignment="1">
      <alignment horizontal="right" vertical="top" wrapText="1"/>
    </xf>
    <xf numFmtId="0" fontId="18" fillId="0" borderId="24" xfId="0" applyFont="1" applyBorder="1"/>
    <xf numFmtId="0" fontId="4" fillId="0" borderId="24" xfId="0" applyFont="1" applyBorder="1"/>
    <xf numFmtId="0" fontId="20" fillId="0" borderId="24" xfId="0" applyFont="1" applyBorder="1"/>
    <xf numFmtId="0" fontId="16" fillId="0" borderId="24" xfId="0" applyFont="1" applyBorder="1"/>
    <xf numFmtId="0" fontId="18" fillId="0" borderId="26" xfId="0" applyFont="1" applyBorder="1"/>
    <xf numFmtId="0" fontId="18" fillId="0" borderId="25" xfId="0" applyFont="1" applyBorder="1"/>
    <xf numFmtId="0" fontId="21" fillId="0" borderId="45" xfId="0" applyFont="1" applyBorder="1"/>
    <xf numFmtId="0" fontId="4" fillId="2" borderId="27" xfId="0" applyFont="1" applyFill="1" applyBorder="1"/>
    <xf numFmtId="0" fontId="4" fillId="6" borderId="46" xfId="0" applyFont="1" applyFill="1" applyBorder="1"/>
    <xf numFmtId="0" fontId="18" fillId="0" borderId="4" xfId="0" applyFont="1" applyBorder="1"/>
    <xf numFmtId="0" fontId="4" fillId="0" borderId="4" xfId="0" applyFont="1" applyBorder="1"/>
    <xf numFmtId="0" fontId="2" fillId="2" borderId="4" xfId="0" applyFont="1" applyFill="1" applyBorder="1"/>
    <xf numFmtId="0" fontId="20" fillId="4" borderId="4" xfId="0" applyFont="1" applyFill="1" applyBorder="1"/>
    <xf numFmtId="0" fontId="20" fillId="0" borderId="4" xfId="0" applyFont="1" applyBorder="1"/>
    <xf numFmtId="0" fontId="18" fillId="0" borderId="28" xfId="0" applyFont="1" applyBorder="1"/>
    <xf numFmtId="0" fontId="21" fillId="0" borderId="47" xfId="0" applyFont="1" applyBorder="1"/>
    <xf numFmtId="0" fontId="2" fillId="0" borderId="2" xfId="0" applyFont="1" applyBorder="1"/>
    <xf numFmtId="0" fontId="16" fillId="0" borderId="48" xfId="0" applyFont="1" applyBorder="1"/>
    <xf numFmtId="0" fontId="16" fillId="0" borderId="49" xfId="0" applyFont="1" applyBorder="1"/>
    <xf numFmtId="0" fontId="18" fillId="0" borderId="35" xfId="0" applyFont="1" applyBorder="1"/>
    <xf numFmtId="0" fontId="22" fillId="0" borderId="50" xfId="0" applyFont="1" applyBorder="1"/>
    <xf numFmtId="0" fontId="18" fillId="0" borderId="6" xfId="0" applyFont="1" applyBorder="1"/>
    <xf numFmtId="0" fontId="6" fillId="0" borderId="1" xfId="0" applyFont="1" applyFill="1" applyBorder="1"/>
    <xf numFmtId="0" fontId="5" fillId="0" borderId="18" xfId="0" applyFont="1" applyFill="1" applyBorder="1"/>
    <xf numFmtId="0" fontId="5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EC0E2AE-2685-40CA-83F0-387F35E47078}" diskRevisions="1" revisionId="130" version="12">
  <header guid="{156BE629-D0EB-4960-BB77-FA76A46779D1}" dateTime="2026-02-19T14:48:54" maxSheetId="2" userName="Olga Rotman" r:id="rId1">
    <sheetIdMap count="1">
      <sheetId val="1"/>
    </sheetIdMap>
  </header>
  <header guid="{EDC09ADB-8A92-4BEE-970F-B8D6453C2DCB}" dateTime="2026-02-19T14:50:42" maxSheetId="2" userName="Kseniya Kholmogorova" r:id="rId2" minRId="1">
    <sheetIdMap count="1">
      <sheetId val="1"/>
    </sheetIdMap>
  </header>
  <header guid="{4D5A7D2B-3E67-42AF-9474-23C458743D93}" dateTime="2026-02-19T14:51:17" maxSheetId="2" userName="Olga Rotman" r:id="rId3" minRId="2">
    <sheetIdMap count="1">
      <sheetId val="1"/>
    </sheetIdMap>
  </header>
  <header guid="{77932F0B-5D1A-421C-8857-F688300A96EA}" dateTime="2026-02-19T14:51:37" maxSheetId="2" userName="Olga Rotman" r:id="rId4" minRId="3" maxRId="4">
    <sheetIdMap count="1">
      <sheetId val="1"/>
    </sheetIdMap>
  </header>
  <header guid="{6E402850-D1F1-4734-9034-A22D46E10D51}" dateTime="2026-02-19T14:51:45" maxSheetId="2" userName="Kseniya Kholmogorova" r:id="rId5" minRId="5">
    <sheetIdMap count="1">
      <sheetId val="1"/>
    </sheetIdMap>
  </header>
  <header guid="{336A0915-43EB-4B8F-9CC4-ED3F20D48513}" dateTime="2026-02-22T12:03:22" maxSheetId="2" userName="Olga Rotman" r:id="rId6" minRId="6" maxRId="8">
    <sheetIdMap count="1">
      <sheetId val="1"/>
    </sheetIdMap>
  </header>
  <header guid="{4FA03BBD-52CC-4F97-872B-1E328EDCF46B}" dateTime="2026-02-23T14:11:28" maxSheetId="2" userName="Olga Rotman" r:id="rId7" minRId="9" maxRId="60">
    <sheetIdMap count="1">
      <sheetId val="1"/>
    </sheetIdMap>
  </header>
  <header guid="{03D275E6-9279-4B40-9B6A-DC83910488C8}" dateTime="2026-02-26T13:58:38" maxSheetId="2" userName="Olga Rotman" r:id="rId8" minRId="61" maxRId="66">
    <sheetIdMap count="1">
      <sheetId val="1"/>
    </sheetIdMap>
  </header>
  <header guid="{95B9FF8E-07CC-42B8-BB5D-8126F12E9504}" dateTime="2026-03-02T10:44:07" maxSheetId="2" userName="Olga Rotman" r:id="rId9" minRId="67" maxRId="121">
    <sheetIdMap count="1">
      <sheetId val="1"/>
    </sheetIdMap>
  </header>
  <header guid="{F9CD1EFA-48E4-4120-8AA8-AB245BBE7C35}" dateTime="2026-03-02T14:48:29" maxSheetId="2" userName="Olga Rotman" r:id="rId10" minRId="122">
    <sheetIdMap count="1">
      <sheetId val="1"/>
    </sheetIdMap>
  </header>
  <header guid="{DD7BFE97-9A80-4008-AD5A-17823DDBAEDA}" dateTime="2026-03-03T15:29:45" maxSheetId="2" userName="Olga Rotman" r:id="rId11" minRId="123" maxRId="129">
    <sheetIdMap count="1">
      <sheetId val="1"/>
    </sheetIdMap>
  </header>
  <header guid="{3EC0E2AE-2685-40CA-83F0-387F35E47078}" dateTime="2026-03-03T16:17:04" maxSheetId="2" userName="Olga Rotman" r:id="rId12" minRId="130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G56">
      <v>12</v>
    </nc>
  </rcc>
  <rcv guid="{45E8F6D7-795F-42D9-AFC0-E53D36C688B0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1">
    <nc r="K4">
      <v>5</v>
    </nc>
  </rcc>
  <rcv guid="{CC5F2093-3D9D-446F-B0C0-37487A6D96B6}" action="delete"/>
  <rcv guid="{CC5F2093-3D9D-446F-B0C0-37487A6D96B6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>
    <oc r="K4">
      <v>5</v>
    </oc>
    <nc r="K4"/>
  </rcc>
  <rsnm rId="4" sheetId="1" oldName="[משרות פתוחות.xlsx]Sheet1" newName="[משרות פתוחות.xlsx]משרות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" sId="1">
    <oc r="G56">
      <v>12</v>
    </oc>
    <nc r="G56"/>
  </rcc>
  <rcv guid="{45E8F6D7-795F-42D9-AFC0-E53D36C688B0}" action="delete"/>
  <rcv guid="{45E8F6D7-795F-42D9-AFC0-E53D36C688B0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" sId="1" odxf="1" dxf="1">
    <nc r="R21">
      <v>1</v>
    </nc>
    <ndxf>
      <font>
        <sz val="12"/>
        <color auto="1"/>
        <name val="David"/>
        <scheme val="none"/>
      </font>
      <fill>
        <patternFill patternType="solid">
          <fgColor rgb="FF000000"/>
          <bgColor rgb="FFFFF2CC"/>
        </patternFill>
      </fill>
    </ndxf>
  </rcc>
  <rcc rId="7" sId="1" odxf="1" dxf="1">
    <nc r="I21">
      <v>1</v>
    </nc>
    <ndxf>
      <font>
        <sz val="12"/>
        <color auto="1"/>
        <name val="David"/>
        <scheme val="none"/>
      </font>
      <fill>
        <patternFill patternType="solid">
          <fgColor rgb="FF000000"/>
          <bgColor rgb="FFFFF2CC"/>
        </patternFill>
      </fill>
    </ndxf>
  </rcc>
  <rcc rId="8" sId="1" odxf="1" dxf="1">
    <nc r="H21">
      <v>1</v>
    </nc>
    <ndxf>
      <font>
        <b/>
        <sz val="12"/>
        <color auto="1"/>
        <name val="David"/>
        <scheme val="none"/>
      </font>
      <fill>
        <patternFill patternType="solid">
          <fgColor rgb="FF000000"/>
          <bgColor rgb="FFFFF2CC"/>
        </patternFill>
      </fill>
    </ndxf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" sId="1">
    <oc r="AZ59">
      <f>SUM(AZ2:AZ58)</f>
    </oc>
    <nc r="AZ59">
      <f>SUM(C59:AY59)</f>
    </nc>
  </rcc>
  <rcc rId="10" sId="1">
    <oc r="C59">
      <f>SUM(C2:C58)</f>
    </oc>
    <nc r="C59">
      <f>SUM(C2:C58)</f>
    </nc>
  </rcc>
  <rcc rId="11" sId="1">
    <oc r="D59">
      <f>SUM(D2:D58)</f>
    </oc>
    <nc r="D59">
      <f>SUM(D2:D58)</f>
    </nc>
  </rcc>
  <rcc rId="12" sId="1">
    <oc r="E59">
      <f>SUM(E2:E58)</f>
    </oc>
    <nc r="E59">
      <f>SUM(E2:E58)</f>
    </nc>
  </rcc>
  <rcc rId="13" sId="1">
    <oc r="F59">
      <f>SUM(F2:F58)</f>
    </oc>
    <nc r="F59">
      <f>SUM(F2:F58)</f>
    </nc>
  </rcc>
  <rcc rId="14" sId="1">
    <oc r="G59">
      <f>SUM(G2:G58)</f>
    </oc>
    <nc r="G59">
      <f>SUM(G2:G58)</f>
    </nc>
  </rcc>
  <rcc rId="15" sId="1">
    <oc r="H59">
      <f>SUM(H2:H58)</f>
    </oc>
    <nc r="H59">
      <f>SUM(H2:H58)</f>
    </nc>
  </rcc>
  <rcc rId="16" sId="1">
    <oc r="I59">
      <f>SUM(I2:I58)</f>
    </oc>
    <nc r="I59">
      <f>SUM(I2:I58)</f>
    </nc>
  </rcc>
  <rcc rId="17" sId="1">
    <oc r="J59">
      <f>SUM(J2:J58)</f>
    </oc>
    <nc r="J59">
      <f>SUM(J2:J58)</f>
    </nc>
  </rcc>
  <rcc rId="18" sId="1">
    <oc r="K59">
      <f>SUM(K2:K58)</f>
    </oc>
    <nc r="K59">
      <f>SUM(K2:K58)</f>
    </nc>
  </rcc>
  <rcc rId="19" sId="1">
    <oc r="L59">
      <f>SUM(L2:L58)</f>
    </oc>
    <nc r="L59">
      <f>SUM(L2:L58)</f>
    </nc>
  </rcc>
  <rcc rId="20" sId="1">
    <oc r="M59">
      <f>SUM(M2:M58)</f>
    </oc>
    <nc r="M59">
      <f>SUM(M2:M58)</f>
    </nc>
  </rcc>
  <rcc rId="21" sId="1">
    <oc r="N59">
      <f>SUM(N2:N58)</f>
    </oc>
    <nc r="N59">
      <f>SUM(N2:N58)</f>
    </nc>
  </rcc>
  <rcc rId="22" sId="1">
    <oc r="O59">
      <f>SUM(O2:O58)</f>
    </oc>
    <nc r="O59">
      <f>SUM(O2:O58)</f>
    </nc>
  </rcc>
  <rcc rId="23" sId="1">
    <nc r="P59">
      <f>SUM(P2:P58)</f>
    </nc>
  </rcc>
  <rcc rId="24" sId="1">
    <oc r="Q59">
      <f>SUM(Q2:Q58)</f>
    </oc>
    <nc r="Q59">
      <f>SUM(Q2:Q58)</f>
    </nc>
  </rcc>
  <rcc rId="25" sId="1">
    <oc r="R59">
      <f>SUM(R2:R58)</f>
    </oc>
    <nc r="R59">
      <f>SUM(R2:R58)</f>
    </nc>
  </rcc>
  <rcc rId="26" sId="1">
    <oc r="S59">
      <f>SUM(S2:S58)</f>
    </oc>
    <nc r="S59">
      <f>SUM(S2:S58)</f>
    </nc>
  </rcc>
  <rcc rId="27" sId="1">
    <oc r="T59">
      <f>SUM(T2:T58)</f>
    </oc>
    <nc r="T59">
      <f>SUM(T2:T58)</f>
    </nc>
  </rcc>
  <rcc rId="28" sId="1">
    <oc r="U59">
      <f>SUM(U2:U58)</f>
    </oc>
    <nc r="U59">
      <f>SUM(U2:U58)</f>
    </nc>
  </rcc>
  <rcc rId="29" sId="1">
    <oc r="V59">
      <f>SUM(V2:V58)</f>
    </oc>
    <nc r="V59">
      <f>SUM(V2:V58)</f>
    </nc>
  </rcc>
  <rcc rId="30" sId="1">
    <oc r="W59">
      <f>SUM(W2:W58)</f>
    </oc>
    <nc r="W59">
      <f>SUM(W2:W58)</f>
    </nc>
  </rcc>
  <rcc rId="31" sId="1">
    <oc r="X59">
      <f>SUM(X2:X58)</f>
    </oc>
    <nc r="X59">
      <f>SUM(X2:X58)</f>
    </nc>
  </rcc>
  <rcc rId="32" sId="1">
    <oc r="Y59">
      <f>SUM(Y2:Y58)</f>
    </oc>
    <nc r="Y59">
      <f>SUM(Y2:Y58)</f>
    </nc>
  </rcc>
  <rcc rId="33" sId="1">
    <oc r="Z59">
      <f>SUM(Z2:Z58)</f>
    </oc>
    <nc r="Z59">
      <f>SUM(Z2:Z58)</f>
    </nc>
  </rcc>
  <rcc rId="34" sId="1">
    <oc r="AA59">
      <f>SUM(AA2:AA58)</f>
    </oc>
    <nc r="AA59">
      <f>SUM(AA2:AA58)</f>
    </nc>
  </rcc>
  <rcc rId="35" sId="1">
    <oc r="AB59">
      <f>SUM(AB2:AB58)</f>
    </oc>
    <nc r="AB59">
      <f>SUM(AB2:AB58)</f>
    </nc>
  </rcc>
  <rcc rId="36" sId="1" odxf="1" dxf="1">
    <oc r="AC59">
      <f>SUM(AC2:AC58)</f>
    </oc>
    <nc r="AC59">
      <f>SUM(AC2:AC58)</f>
    </nc>
    <odxf>
      <border outline="0">
        <bottom/>
      </border>
    </odxf>
    <ndxf>
      <border outline="0">
        <bottom style="medium">
          <color indexed="64"/>
        </bottom>
      </border>
    </ndxf>
  </rcc>
  <rcc rId="37" sId="1" odxf="1" dxf="1">
    <oc r="AD59">
      <f>SUM(AD2:AD58)</f>
    </oc>
    <nc r="AD59">
      <f>SUM(AD2:AD58)</f>
    </nc>
    <odxf>
      <border outline="0">
        <bottom/>
      </border>
    </odxf>
    <ndxf>
      <border outline="0">
        <bottom style="medium">
          <color indexed="64"/>
        </bottom>
      </border>
    </ndxf>
  </rcc>
  <rcc rId="38" sId="1" odxf="1" dxf="1">
    <nc r="AE59">
      <f>SUM(AE2:AE58)</f>
    </nc>
    <odxf>
      <border outline="0">
        <bottom/>
      </border>
    </odxf>
    <ndxf>
      <border outline="0">
        <bottom style="medium">
          <color indexed="64"/>
        </bottom>
      </border>
    </ndxf>
  </rcc>
  <rcc rId="39" sId="1" odxf="1" dxf="1">
    <oc r="AF59">
      <f>SUM(AF2:AF58)</f>
    </oc>
    <nc r="AF59">
      <f>SUM(AF2:AF58)</f>
    </nc>
    <odxf>
      <border outline="0">
        <bottom/>
      </border>
    </odxf>
    <ndxf>
      <border outline="0">
        <bottom style="medium">
          <color indexed="64"/>
        </bottom>
      </border>
    </ndxf>
  </rcc>
  <rcc rId="40" sId="1" odxf="1" dxf="1">
    <oc r="AG59">
      <f>SUM(AG2:AG58)</f>
    </oc>
    <nc r="AG59">
      <f>SUM(AG2:AG58)</f>
    </nc>
    <odxf>
      <border outline="0">
        <bottom/>
      </border>
    </odxf>
    <ndxf>
      <border outline="0">
        <bottom style="medium">
          <color indexed="64"/>
        </bottom>
      </border>
    </ndxf>
  </rcc>
  <rcc rId="41" sId="1" odxf="1" dxf="1">
    <oc r="AH59">
      <f>SUM(AH2:AH58)</f>
    </oc>
    <nc r="AH59">
      <f>SUM(AH2:AH58)</f>
    </nc>
    <odxf>
      <border outline="0">
        <bottom/>
      </border>
    </odxf>
    <ndxf>
      <border outline="0">
        <bottom style="medium">
          <color indexed="64"/>
        </bottom>
      </border>
    </ndxf>
  </rcc>
  <rcc rId="42" sId="1" odxf="1" dxf="1">
    <oc r="AI59">
      <f>SUM(AI2:AI58)</f>
    </oc>
    <nc r="AI59">
      <f>SUM(AI2:AI58)</f>
    </nc>
    <odxf>
      <border outline="0">
        <bottom/>
      </border>
    </odxf>
    <ndxf>
      <border outline="0">
        <bottom style="medium">
          <color indexed="64"/>
        </bottom>
      </border>
    </ndxf>
  </rcc>
  <rcc rId="43" sId="1" odxf="1" dxf="1">
    <oc r="AJ59">
      <f>SUM(AJ2:AJ58)</f>
    </oc>
    <nc r="AJ59">
      <f>SUM(AJ2:AJ58)</f>
    </nc>
    <odxf>
      <border outline="0">
        <bottom/>
      </border>
    </odxf>
    <ndxf>
      <border outline="0">
        <bottom style="medium">
          <color indexed="64"/>
        </bottom>
      </border>
    </ndxf>
  </rcc>
  <rcc rId="44" sId="1" odxf="1" dxf="1">
    <oc r="AK59">
      <f>SUM(AK2:AK58)</f>
    </oc>
    <nc r="AK59">
      <f>SUM(AK2:AK58)</f>
    </nc>
    <odxf>
      <border outline="0">
        <bottom/>
      </border>
    </odxf>
    <ndxf>
      <border outline="0">
        <bottom style="medium">
          <color indexed="64"/>
        </bottom>
      </border>
    </ndxf>
  </rcc>
  <rcc rId="45" sId="1" odxf="1" dxf="1">
    <oc r="AL59">
      <f>SUM(AL2:AL58)</f>
    </oc>
    <nc r="AL59">
      <f>SUM(AL2:AL58)</f>
    </nc>
    <odxf>
      <border outline="0">
        <bottom/>
      </border>
    </odxf>
    <ndxf>
      <border outline="0">
        <bottom style="medium">
          <color indexed="64"/>
        </bottom>
      </border>
    </ndxf>
  </rcc>
  <rcc rId="46" sId="1" odxf="1" dxf="1">
    <oc r="AM59">
      <f>SUM(AM2:AM58)</f>
    </oc>
    <nc r="AM59">
      <f>SUM(AM2:AM58)</f>
    </nc>
    <odxf>
      <border outline="0">
        <bottom/>
      </border>
    </odxf>
    <ndxf>
      <border outline="0">
        <bottom style="medium">
          <color indexed="64"/>
        </bottom>
      </border>
    </ndxf>
  </rcc>
  <rcc rId="47" sId="1" odxf="1" dxf="1">
    <oc r="AN59">
      <f>SUM(AN2:AN58)</f>
    </oc>
    <nc r="AN59">
      <f>SUM(AN2:AN58)</f>
    </nc>
    <odxf>
      <border outline="0">
        <bottom/>
      </border>
    </odxf>
    <ndxf>
      <border outline="0">
        <bottom style="medium">
          <color indexed="64"/>
        </bottom>
      </border>
    </ndxf>
  </rcc>
  <rcc rId="48" sId="1" odxf="1" dxf="1">
    <nc r="AO59">
      <f>SUM(AO2:AO58)</f>
    </nc>
    <odxf>
      <border outline="0">
        <bottom/>
      </border>
    </odxf>
    <ndxf>
      <border outline="0">
        <bottom style="medium">
          <color indexed="64"/>
        </bottom>
      </border>
    </ndxf>
  </rcc>
  <rcc rId="49" sId="1" odxf="1" dxf="1">
    <oc r="AP59">
      <f>SUM(AP2:AP58)</f>
    </oc>
    <nc r="AP59">
      <f>SUM(AP2:AP58)</f>
    </nc>
    <odxf>
      <border outline="0">
        <bottom/>
      </border>
    </odxf>
    <ndxf>
      <border outline="0">
        <bottom style="medium">
          <color indexed="64"/>
        </bottom>
      </border>
    </ndxf>
  </rcc>
  <rcc rId="50" sId="1" odxf="1" dxf="1">
    <oc r="AQ59">
      <f>SUM(AQ2:AQ58)</f>
    </oc>
    <nc r="AQ59">
      <f>SUM(AQ2:AQ58)</f>
    </nc>
    <odxf>
      <border outline="0">
        <bottom/>
      </border>
    </odxf>
    <ndxf>
      <border outline="0">
        <bottom style="medium">
          <color indexed="64"/>
        </bottom>
      </border>
    </ndxf>
  </rcc>
  <rcc rId="51" sId="1" odxf="1" dxf="1">
    <oc r="AR59">
      <f>SUM(AR2:AR58)</f>
    </oc>
    <nc r="AR59">
      <f>SUM(AR2:AR58)</f>
    </nc>
    <odxf>
      <border outline="0">
        <bottom/>
      </border>
    </odxf>
    <ndxf>
      <border outline="0">
        <bottom style="medium">
          <color indexed="64"/>
        </bottom>
      </border>
    </ndxf>
  </rcc>
  <rcc rId="52" sId="1" odxf="1" dxf="1">
    <oc r="AS59">
      <f>SUM(AS2:AS58)</f>
    </oc>
    <nc r="AS59">
      <f>SUM(AS2:AS58)</f>
    </nc>
    <odxf>
      <border outline="0">
        <bottom/>
      </border>
    </odxf>
    <ndxf>
      <border outline="0">
        <bottom style="medium">
          <color indexed="64"/>
        </bottom>
      </border>
    </ndxf>
  </rcc>
  <rcc rId="53" sId="1" odxf="1" dxf="1">
    <oc r="AT59">
      <f>SUM(AT2:AT58)</f>
    </oc>
    <nc r="AT59">
      <f>SUM(AT2:AT58)</f>
    </nc>
    <odxf>
      <border outline="0">
        <bottom/>
      </border>
    </odxf>
    <ndxf>
      <border outline="0">
        <bottom style="medium">
          <color indexed="64"/>
        </bottom>
      </border>
    </ndxf>
  </rcc>
  <rcc rId="54" sId="1" odxf="1" dxf="1">
    <oc r="AU59">
      <f>SUM(AU2:AU58)</f>
    </oc>
    <nc r="AU59">
      <f>SUM(AU2:AU58)</f>
    </nc>
    <odxf>
      <border outline="0">
        <bottom/>
      </border>
    </odxf>
    <ndxf>
      <border outline="0">
        <bottom style="medium">
          <color indexed="64"/>
        </bottom>
      </border>
    </ndxf>
  </rcc>
  <rcc rId="55" sId="1" odxf="1" dxf="1">
    <oc r="AV59">
      <f>SUM(AV2:AV58)</f>
    </oc>
    <nc r="AV59">
      <f>SUM(AV2:AV58)</f>
    </nc>
    <odxf>
      <border outline="0">
        <bottom/>
      </border>
    </odxf>
    <ndxf>
      <border outline="0">
        <bottom style="medium">
          <color indexed="64"/>
        </bottom>
      </border>
    </ndxf>
  </rcc>
  <rcc rId="56" sId="1" odxf="1" dxf="1">
    <oc r="AW59">
      <f>SUM(AW2:AW58)</f>
    </oc>
    <nc r="AW59">
      <f>SUM(AW2:AW58)</f>
    </nc>
    <odxf>
      <border outline="0">
        <bottom/>
      </border>
    </odxf>
    <ndxf>
      <border outline="0">
        <bottom style="medium">
          <color indexed="64"/>
        </bottom>
      </border>
    </ndxf>
  </rcc>
  <rcc rId="57" sId="1" odxf="1" dxf="1">
    <oc r="AX59">
      <f>SUM(AX2:AX58)</f>
    </oc>
    <nc r="AX59">
      <f>SUM(AX2:AX58)</f>
    </nc>
    <odxf>
      <border outline="0">
        <bottom/>
      </border>
    </odxf>
    <ndxf>
      <border outline="0">
        <bottom style="medium">
          <color indexed="64"/>
        </bottom>
      </border>
    </ndxf>
  </rcc>
  <rcc rId="58" sId="1" odxf="1" dxf="1">
    <oc r="AY59">
      <f>SUM(AY2:AY58)</f>
    </oc>
    <nc r="AY59">
      <f>SUM(AY2:AY58)</f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H16" start="0" length="0">
    <dxf>
      <font>
        <sz val="12"/>
        <color auto="1"/>
        <name val="David"/>
        <scheme val="none"/>
      </font>
      <fill>
        <patternFill patternType="solid">
          <fgColor rgb="FF000000"/>
          <bgColor rgb="FFFFF2CC"/>
        </patternFill>
      </fill>
    </dxf>
  </rfmt>
  <rcmt sheetId="1" cell="H16" guid="{00000000-0000-0000-0000-000000000000}" action="delete" author="Olga Rotman"/>
  <rfmt sheetId="1" sqref="K16" start="0" length="0">
    <dxf>
      <font>
        <sz val="12"/>
        <color auto="1"/>
        <name val="David"/>
        <scheme val="none"/>
      </font>
      <fill>
        <patternFill patternType="solid">
          <fgColor rgb="FF000000"/>
          <bgColor rgb="FFFFF2CC"/>
        </patternFill>
      </fill>
    </dxf>
  </rfmt>
  <rcc rId="59" sId="1">
    <nc r="K16">
      <v>1</v>
    </nc>
  </rcc>
  <rcc rId="60" sId="1">
    <nc r="H16">
      <v>1</v>
    </nc>
  </rcc>
  <rcv guid="{CC5F2093-3D9D-446F-B0C0-37487A6D96B6}" action="delete"/>
  <rcv guid="{CC5F2093-3D9D-446F-B0C0-37487A6D96B6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" sId="1">
    <oc r="H21">
      <v>1</v>
    </oc>
    <nc r="H21"/>
  </rcc>
  <rcc rId="62" sId="1">
    <oc r="I21">
      <v>1</v>
    </oc>
    <nc r="I21"/>
  </rcc>
  <rfmt sheetId="1" sqref="H21:I21">
    <dxf>
      <fill>
        <patternFill patternType="none">
          <fgColor indexed="64"/>
          <bgColor auto="1"/>
        </patternFill>
      </fill>
    </dxf>
  </rfmt>
  <rcc rId="63" sId="1">
    <oc r="C37">
      <v>2</v>
    </oc>
    <nc r="C37"/>
  </rcc>
  <rcc rId="64" sId="1">
    <oc r="R37">
      <v>6</v>
    </oc>
    <nc r="R37"/>
  </rcc>
  <rfmt sheetId="1" sqref="C37:R37">
    <dxf>
      <fill>
        <patternFill patternType="none">
          <fgColor indexed="64"/>
          <bgColor auto="1"/>
        </patternFill>
      </fill>
    </dxf>
  </rfmt>
  <rfmt sheetId="1" sqref="H3:I3">
    <dxf>
      <fill>
        <patternFill patternType="solid">
          <bgColor theme="5" tint="0.79998168889431442"/>
        </patternFill>
      </fill>
    </dxf>
  </rfmt>
  <rfmt sheetId="1" sqref="H3" start="0" length="0">
    <dxf>
      <font>
        <sz val="12"/>
        <color auto="1"/>
        <name val="David"/>
        <scheme val="none"/>
      </font>
      <fill>
        <patternFill>
          <fgColor rgb="FF000000"/>
          <bgColor rgb="FFFFF2CC"/>
        </patternFill>
      </fill>
    </dxf>
  </rfmt>
  <rfmt sheetId="1" sqref="I3" start="0" length="0">
    <dxf>
      <font>
        <sz val="12"/>
        <color auto="1"/>
        <name val="David"/>
        <scheme val="none"/>
      </font>
      <fill>
        <patternFill>
          <fgColor rgb="FF000000"/>
          <bgColor rgb="FFFFF2CC"/>
        </patternFill>
      </fill>
    </dxf>
  </rfmt>
  <rcc rId="65" sId="1">
    <nc r="H3">
      <v>2</v>
    </nc>
  </rcc>
  <rcc rId="66" sId="1">
    <nc r="I3">
      <v>2</v>
    </nc>
  </rcc>
  <rcmt sheetId="1" cell="I4" guid="{00000000-0000-0000-0000-000000000000}" action="delete" author="Irena Wasserman (Manpower at Flex)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" sId="1">
    <oc r="B8" t="inlineStr">
      <is>
        <t>איוון לבדב - 053-4284481 / דמיטרי פודולסקי - 054-8132580</t>
      </is>
    </oc>
    <nc r="B8" t="inlineStr">
      <is>
        <t>איוון לבדב - 053-4284481 /איתי מורדכי</t>
      </is>
    </nc>
  </rcc>
  <rm rId="68" sheetId="1" source="L13" destination="K13" sourceSheetId="1">
    <rfmt sheetId="1" sqref="K13" start="0" length="0">
      <dxf>
        <font>
          <b/>
          <sz val="11"/>
          <color auto="1"/>
          <name val="David"/>
          <family val="2"/>
          <charset val="177"/>
          <scheme val="none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69" sId="1">
    <oc r="K13">
      <v>1</v>
    </oc>
    <nc r="K13"/>
  </rcc>
  <rfmt sheetId="1" sqref="K13">
    <dxf>
      <fill>
        <patternFill patternType="none">
          <fgColor indexed="64"/>
          <bgColor auto="1"/>
        </patternFill>
      </fill>
    </dxf>
  </rfmt>
  <rfmt sheetId="1" sqref="K16">
    <dxf>
      <fill>
        <patternFill patternType="none">
          <fgColor indexed="64"/>
          <bgColor auto="1"/>
        </patternFill>
      </fill>
    </dxf>
  </rfmt>
  <rfmt sheetId="1" sqref="K16" start="0" length="0">
    <dxf>
      <fill>
        <patternFill patternType="solid">
          <fgColor rgb="FF000000"/>
          <bgColor rgb="FFFFF2CC"/>
        </patternFill>
      </fill>
    </dxf>
  </rfmt>
  <rcc rId="70" sId="1">
    <oc r="R21">
      <v>1</v>
    </oc>
    <nc r="R21"/>
  </rcc>
  <rfmt sheetId="1" sqref="R21">
    <dxf>
      <fill>
        <patternFill patternType="none">
          <fgColor indexed="64"/>
          <bgColor auto="1"/>
        </patternFill>
      </fill>
    </dxf>
  </rfmt>
  <rcc rId="71" sId="1">
    <oc r="N52">
      <v>2</v>
    </oc>
    <nc r="N52">
      <v>5</v>
    </nc>
  </rcc>
  <rcc rId="72" sId="1">
    <oc r="H52">
      <v>4</v>
    </oc>
    <nc r="H52">
      <v>6</v>
    </nc>
  </rcc>
  <rcmt sheetId="1" cell="H52" guid="{00000000-0000-0000-0000-000000000000}" action="delete" author="Olga Rotman"/>
  <rcc rId="73" sId="1">
    <oc r="C68">
      <f>SUM(C60:C67)</f>
    </oc>
    <nc r="C68">
      <f>SUM(C60:C67)</f>
    </nc>
  </rcc>
  <rcc rId="74" sId="1" odxf="1" dxf="1">
    <oc r="D68">
      <f>SUM(D60:D67)</f>
    </oc>
    <nc r="D68">
      <f>SUM(D60:D67)</f>
    </nc>
    <odxf>
      <border outline="0">
        <left style="thin">
          <color indexed="64"/>
        </left>
      </border>
    </odxf>
    <ndxf>
      <border outline="0">
        <left/>
      </border>
    </ndxf>
  </rcc>
  <rcc rId="75" sId="1" odxf="1" dxf="1">
    <oc r="E68">
      <f>SUM(E60:E67)</f>
    </oc>
    <nc r="E68">
      <f>SUM(E60:E67)</f>
    </nc>
    <odxf>
      <border outline="0">
        <left style="thin">
          <color indexed="64"/>
        </left>
      </border>
    </odxf>
    <ndxf>
      <border outline="0">
        <left/>
      </border>
    </ndxf>
  </rcc>
  <rcc rId="76" sId="1" odxf="1" dxf="1">
    <oc r="F68">
      <f>SUM(F60:F67)</f>
    </oc>
    <nc r="F68">
      <f>SUM(F60:F67)</f>
    </nc>
    <odxf>
      <border outline="0">
        <left style="thin">
          <color indexed="64"/>
        </left>
      </border>
    </odxf>
    <ndxf>
      <border outline="0">
        <left/>
      </border>
    </ndxf>
  </rcc>
  <rcc rId="77" sId="1" odxf="1" dxf="1">
    <oc r="G68">
      <f>SUM(G60:G67)</f>
    </oc>
    <nc r="G68">
      <f>SUM(G60:G67)</f>
    </nc>
    <odxf>
      <border outline="0">
        <left style="thin">
          <color indexed="64"/>
        </left>
      </border>
    </odxf>
    <ndxf>
      <border outline="0">
        <left/>
      </border>
    </ndxf>
  </rcc>
  <rcc rId="78" sId="1" odxf="1" dxf="1">
    <oc r="H68">
      <f>SUM(H60:H67)</f>
    </oc>
    <nc r="H68">
      <f>SUM(H60:H67)</f>
    </nc>
    <odxf>
      <border outline="0">
        <left style="thin">
          <color indexed="64"/>
        </left>
      </border>
    </odxf>
    <ndxf>
      <border outline="0">
        <left/>
      </border>
    </ndxf>
  </rcc>
  <rcc rId="79" sId="1" odxf="1" dxf="1">
    <oc r="I68">
      <f>SUM(I60:I67)</f>
    </oc>
    <nc r="I68">
      <f>SUM(I60:I67)</f>
    </nc>
    <odxf>
      <border outline="0">
        <left style="thin">
          <color indexed="64"/>
        </left>
      </border>
    </odxf>
    <ndxf>
      <border outline="0">
        <left/>
      </border>
    </ndxf>
  </rcc>
  <rcc rId="80" sId="1" odxf="1" dxf="1">
    <oc r="J68">
      <f>SUM(J60:J67)</f>
    </oc>
    <nc r="J68">
      <f>SUM(J60:J67)</f>
    </nc>
    <odxf>
      <border outline="0">
        <left style="thin">
          <color indexed="64"/>
        </left>
      </border>
    </odxf>
    <ndxf>
      <border outline="0">
        <left/>
      </border>
    </ndxf>
  </rcc>
  <rcc rId="81" sId="1" odxf="1" dxf="1">
    <oc r="K68">
      <f>SUM(K60:K67)</f>
    </oc>
    <nc r="K68">
      <f>SUM(K60:K67)</f>
    </nc>
    <odxf>
      <border outline="0">
        <left style="thin">
          <color indexed="64"/>
        </left>
      </border>
    </odxf>
    <ndxf>
      <border outline="0">
        <left/>
      </border>
    </ndxf>
  </rcc>
  <rcc rId="82" sId="1" odxf="1" dxf="1">
    <oc r="L68">
      <f>SUM(L60:L67)</f>
    </oc>
    <nc r="L68">
      <f>SUM(L60:L67)</f>
    </nc>
    <odxf>
      <border outline="0">
        <left style="thin">
          <color indexed="64"/>
        </left>
      </border>
    </odxf>
    <ndxf>
      <border outline="0">
        <left/>
      </border>
    </ndxf>
  </rcc>
  <rcc rId="83" sId="1" odxf="1" dxf="1">
    <oc r="M68">
      <f>SUM(M60:M67)</f>
    </oc>
    <nc r="M68">
      <f>SUM(M60:M67)</f>
    </nc>
    <odxf>
      <border outline="0">
        <left style="thin">
          <color indexed="64"/>
        </left>
      </border>
    </odxf>
    <ndxf>
      <border outline="0">
        <left/>
      </border>
    </ndxf>
  </rcc>
  <rcc rId="84" sId="1" odxf="1" dxf="1">
    <oc r="N68">
      <f>SUM(N60:N67)</f>
    </oc>
    <nc r="N68">
      <f>SUM(N60:N67)</f>
    </nc>
    <odxf>
      <border outline="0">
        <left style="thin">
          <color indexed="64"/>
        </left>
      </border>
    </odxf>
    <ndxf>
      <border outline="0">
        <left/>
      </border>
    </ndxf>
  </rcc>
  <rcc rId="85" sId="1" odxf="1" dxf="1">
    <oc r="O68">
      <f>SUM(O60:O67)</f>
    </oc>
    <nc r="O68">
      <f>SUM(O60:O67)</f>
    </nc>
    <odxf>
      <border outline="0">
        <left style="thin">
          <color indexed="64"/>
        </left>
      </border>
    </odxf>
    <ndxf>
      <border outline="0">
        <left/>
      </border>
    </ndxf>
  </rcc>
  <rcc rId="86" sId="1" odxf="1" dxf="1">
    <nc r="P68">
      <f>SUM(P60:P67)</f>
    </nc>
    <odxf>
      <border outline="0">
        <left style="thin">
          <color indexed="64"/>
        </left>
      </border>
    </odxf>
    <ndxf>
      <border outline="0">
        <left/>
      </border>
    </ndxf>
  </rcc>
  <rcc rId="87" sId="1" odxf="1" dxf="1">
    <oc r="Q68">
      <f>SUM(Q60:Q67)</f>
    </oc>
    <nc r="Q68">
      <f>SUM(Q60:Q67)</f>
    </nc>
    <odxf>
      <border outline="0">
        <left style="thin">
          <color indexed="64"/>
        </left>
      </border>
    </odxf>
    <ndxf>
      <border outline="0">
        <left/>
      </border>
    </ndxf>
  </rcc>
  <rcc rId="88" sId="1" odxf="1" dxf="1">
    <oc r="R68">
      <f>SUM(R60:R67)</f>
    </oc>
    <nc r="R68">
      <f>SUM(R60:R67)</f>
    </nc>
    <odxf>
      <border outline="0">
        <left style="thin">
          <color indexed="64"/>
        </left>
      </border>
    </odxf>
    <ndxf>
      <border outline="0">
        <left/>
      </border>
    </ndxf>
  </rcc>
  <rcc rId="89" sId="1" odxf="1" dxf="1">
    <oc r="S68">
      <f>SUM(S60:S67)</f>
    </oc>
    <nc r="S68">
      <f>SUM(S60:S67)</f>
    </nc>
    <odxf>
      <border outline="0">
        <left style="thin">
          <color indexed="64"/>
        </left>
      </border>
    </odxf>
    <ndxf>
      <border outline="0">
        <left/>
      </border>
    </ndxf>
  </rcc>
  <rcc rId="90" sId="1" odxf="1" dxf="1">
    <oc r="T68">
      <f>SUM(T60:T67)</f>
    </oc>
    <nc r="T68">
      <f>SUM(T60:T67)</f>
    </nc>
    <odxf>
      <border outline="0">
        <left style="thin">
          <color indexed="64"/>
        </left>
      </border>
    </odxf>
    <ndxf>
      <border outline="0">
        <left/>
      </border>
    </ndxf>
  </rcc>
  <rcc rId="91" sId="1" odxf="1" dxf="1">
    <oc r="U68">
      <f>SUM(U60:U67)</f>
    </oc>
    <nc r="U68">
      <f>SUM(U60:U67)</f>
    </nc>
    <odxf>
      <border outline="0">
        <left style="thin">
          <color indexed="64"/>
        </left>
      </border>
    </odxf>
    <ndxf>
      <border outline="0">
        <left/>
      </border>
    </ndxf>
  </rcc>
  <rcc rId="92" sId="1" odxf="1" dxf="1">
    <nc r="V68">
      <f>SUM(V60:V67)</f>
    </nc>
    <odxf>
      <border outline="0">
        <left style="thin">
          <color indexed="64"/>
        </left>
      </border>
    </odxf>
    <ndxf>
      <border outline="0">
        <left/>
      </border>
    </ndxf>
  </rcc>
  <rcc rId="93" sId="1" odxf="1" dxf="1">
    <oc r="W68">
      <f>SUM(W60:W67)</f>
    </oc>
    <nc r="W68">
      <f>SUM(W60:W67)</f>
    </nc>
    <odxf>
      <border outline="0">
        <left style="thin">
          <color indexed="64"/>
        </left>
      </border>
    </odxf>
    <ndxf>
      <border outline="0">
        <left/>
      </border>
    </ndxf>
  </rcc>
  <rcc rId="94" sId="1" odxf="1" dxf="1">
    <oc r="X68">
      <f>SUM(X60:X67)</f>
    </oc>
    <nc r="X68">
      <f>SUM(X60:X67)</f>
    </nc>
    <odxf>
      <border outline="0">
        <left style="thin">
          <color indexed="64"/>
        </left>
      </border>
    </odxf>
    <ndxf>
      <border outline="0">
        <left/>
      </border>
    </ndxf>
  </rcc>
  <rcc rId="95" sId="1" odxf="1" dxf="1">
    <oc r="Y68">
      <f>SUM(Y61:Y67)</f>
    </oc>
    <nc r="Y68">
      <f>SUM(Y60:Y67)</f>
    </nc>
    <odxf>
      <border outline="0">
        <left style="thin">
          <color indexed="64"/>
        </left>
      </border>
    </odxf>
    <ndxf>
      <border outline="0">
        <left/>
      </border>
    </ndxf>
  </rcc>
  <rcc rId="96" sId="1" odxf="1" dxf="1">
    <oc r="Z68">
      <f>SUM(Z60:Z67)</f>
    </oc>
    <nc r="Z68">
      <f>SUM(Z60:Z67)</f>
    </nc>
    <odxf>
      <border outline="0">
        <left style="thin">
          <color indexed="64"/>
        </left>
      </border>
    </odxf>
    <ndxf>
      <border outline="0">
        <left/>
      </border>
    </ndxf>
  </rcc>
  <rcc rId="97" sId="1" odxf="1" dxf="1">
    <oc r="AA68">
      <f>SUM(AA60:AA67)</f>
    </oc>
    <nc r="AA68">
      <f>SUM(AA60:AA67)</f>
    </nc>
    <odxf>
      <border outline="0">
        <left style="thin">
          <color indexed="64"/>
        </left>
      </border>
    </odxf>
    <ndxf>
      <border outline="0">
        <left/>
      </border>
    </ndxf>
  </rcc>
  <rcc rId="98" sId="1" odxf="1" dxf="1">
    <oc r="AB68">
      <f>SUM(AB60:AB67)</f>
    </oc>
    <nc r="AB68">
      <f>SUM(AB60:AB67)</f>
    </nc>
    <odxf>
      <border outline="0">
        <left style="thin">
          <color indexed="64"/>
        </left>
      </border>
    </odxf>
    <ndxf>
      <border outline="0">
        <left/>
      </border>
    </ndxf>
  </rcc>
  <rcc rId="99" sId="1" odxf="1" dxf="1">
    <oc r="AC68">
      <f>SUM(AC60:AC67)</f>
    </oc>
    <nc r="AC68">
      <f>SUM(AC60:AC67)</f>
    </nc>
    <odxf>
      <border outline="0">
        <left style="thin">
          <color indexed="64"/>
        </left>
      </border>
    </odxf>
    <ndxf>
      <border outline="0">
        <left/>
      </border>
    </ndxf>
  </rcc>
  <rcc rId="100" sId="1" odxf="1" dxf="1">
    <oc r="AD68">
      <f>SUM(AD60:AD67)</f>
    </oc>
    <nc r="AD68">
      <f>SUM(AD60:AD67)</f>
    </nc>
    <odxf>
      <border outline="0">
        <left style="thin">
          <color indexed="64"/>
        </left>
      </border>
    </odxf>
    <ndxf>
      <border outline="0">
        <left/>
      </border>
    </ndxf>
  </rcc>
  <rcc rId="101" sId="1" odxf="1" dxf="1">
    <nc r="AE68">
      <f>SUM(AE60:AE67)</f>
    </nc>
    <odxf>
      <border outline="0">
        <left style="thin">
          <color indexed="64"/>
        </left>
      </border>
    </odxf>
    <ndxf>
      <border outline="0">
        <left/>
      </border>
    </ndxf>
  </rcc>
  <rcc rId="102" sId="1" odxf="1" dxf="1">
    <oc r="AF68">
      <f>SUM(AF60:AF67)</f>
    </oc>
    <nc r="AF68">
      <f>SUM(AF60:AF67)</f>
    </nc>
    <odxf>
      <border outline="0">
        <left style="thin">
          <color indexed="64"/>
        </left>
      </border>
    </odxf>
    <ndxf>
      <border outline="0">
        <left/>
      </border>
    </ndxf>
  </rcc>
  <rcc rId="103" sId="1" odxf="1" dxf="1">
    <oc r="AG68">
      <f>SUM(AG60:AG67)</f>
    </oc>
    <nc r="AG68">
      <f>SUM(AG60:AG67)</f>
    </nc>
    <odxf>
      <border outline="0">
        <left style="thin">
          <color indexed="64"/>
        </left>
      </border>
    </odxf>
    <ndxf>
      <border outline="0">
        <left/>
      </border>
    </ndxf>
  </rcc>
  <rcc rId="104" sId="1" odxf="1" dxf="1">
    <oc r="AH68">
      <f>SUM(AH60:AH67)</f>
    </oc>
    <nc r="AH68">
      <f>SUM(AH60:AH67)</f>
    </nc>
    <odxf>
      <border outline="0">
        <left style="thin">
          <color indexed="64"/>
        </left>
      </border>
    </odxf>
    <ndxf>
      <border outline="0">
        <left/>
      </border>
    </ndxf>
  </rcc>
  <rcc rId="105" sId="1" odxf="1" dxf="1">
    <oc r="AI68">
      <f>SUM(AI60:AI67)</f>
    </oc>
    <nc r="AI68">
      <f>SUM(AI60:AI67)</f>
    </nc>
    <odxf>
      <border outline="0">
        <left style="thin">
          <color indexed="64"/>
        </left>
      </border>
    </odxf>
    <ndxf>
      <border outline="0">
        <left/>
      </border>
    </ndxf>
  </rcc>
  <rcc rId="106" sId="1" odxf="1" dxf="1">
    <oc r="AJ68">
      <f>SUM(AJ60:AJ67)</f>
    </oc>
    <nc r="AJ68">
      <f>SUM(AJ60:AJ67)</f>
    </nc>
    <odxf>
      <border outline="0">
        <left style="thin">
          <color indexed="64"/>
        </left>
      </border>
    </odxf>
    <ndxf>
      <border outline="0">
        <left/>
      </border>
    </ndxf>
  </rcc>
  <rcc rId="107" sId="1" odxf="1" dxf="1">
    <oc r="AK68">
      <f>SUM(AK60:AK67)</f>
    </oc>
    <nc r="AK68">
      <f>SUM(AK60:AK67)</f>
    </nc>
    <odxf>
      <border outline="0">
        <left style="thin">
          <color indexed="64"/>
        </left>
      </border>
    </odxf>
    <ndxf>
      <border outline="0">
        <left/>
      </border>
    </ndxf>
  </rcc>
  <rcc rId="108" sId="1" odxf="1" dxf="1">
    <oc r="AL68">
      <f>SUM(AL60:AL67)</f>
    </oc>
    <nc r="AL68">
      <f>SUM(AL60:AL67)</f>
    </nc>
    <odxf>
      <border outline="0">
        <left style="thin">
          <color indexed="64"/>
        </left>
      </border>
    </odxf>
    <ndxf>
      <border outline="0">
        <left/>
      </border>
    </ndxf>
  </rcc>
  <rcc rId="109" sId="1" odxf="1" dxf="1">
    <oc r="AM68">
      <f>SUM(AM60:AM67)</f>
    </oc>
    <nc r="AM68">
      <f>SUM(AM60:AM67)</f>
    </nc>
    <odxf>
      <border outline="0">
        <left style="thin">
          <color indexed="64"/>
        </left>
      </border>
    </odxf>
    <ndxf>
      <border outline="0">
        <left/>
      </border>
    </ndxf>
  </rcc>
  <rcc rId="110" sId="1" odxf="1" dxf="1">
    <nc r="AN68">
      <f>SUM(AN60:AN67)</f>
    </nc>
    <odxf>
      <border outline="0">
        <left style="thin">
          <color indexed="64"/>
        </left>
      </border>
    </odxf>
    <ndxf>
      <border outline="0">
        <left/>
      </border>
    </ndxf>
  </rcc>
  <rcc rId="111" sId="1" odxf="1" dxf="1">
    <nc r="AO68">
      <f>SUM(AO60:AO67)</f>
    </nc>
    <odxf>
      <border outline="0">
        <left style="thin">
          <color indexed="64"/>
        </left>
      </border>
    </odxf>
    <ndxf>
      <border outline="0">
        <left/>
      </border>
    </ndxf>
  </rcc>
  <rcc rId="112" sId="1" odxf="1" dxf="1">
    <oc r="AP68">
      <f>SUM(AP60:AP67)</f>
    </oc>
    <nc r="AP68">
      <f>SUM(AP60:AP67)</f>
    </nc>
    <odxf>
      <border outline="0">
        <left style="thin">
          <color indexed="64"/>
        </left>
      </border>
    </odxf>
    <ndxf>
      <border outline="0">
        <left/>
      </border>
    </ndxf>
  </rcc>
  <rcc rId="113" sId="1" odxf="1" dxf="1">
    <oc r="AQ68">
      <f>SUM(AQ60:AQ67)</f>
    </oc>
    <nc r="AQ68">
      <f>SUM(AQ60:AQ67)</f>
    </nc>
    <odxf>
      <border outline="0">
        <left style="thin">
          <color indexed="64"/>
        </left>
      </border>
    </odxf>
    <ndxf>
      <border outline="0">
        <left/>
      </border>
    </ndxf>
  </rcc>
  <rcc rId="114" sId="1" odxf="1" dxf="1">
    <nc r="AR68">
      <f>SUM(AR60:AR67)</f>
    </nc>
    <odxf>
      <border outline="0">
        <left style="thin">
          <color indexed="64"/>
        </left>
      </border>
    </odxf>
    <ndxf>
      <border outline="0">
        <left/>
      </border>
    </ndxf>
  </rcc>
  <rcc rId="115" sId="1" odxf="1" dxf="1">
    <oc r="AS68">
      <f>SUM(AS60:AS67)</f>
    </oc>
    <nc r="AS68">
      <f>SUM(AS60:AS67)</f>
    </nc>
    <odxf>
      <border outline="0">
        <left style="thin">
          <color indexed="64"/>
        </left>
      </border>
    </odxf>
    <ndxf>
      <border outline="0">
        <left/>
      </border>
    </ndxf>
  </rcc>
  <rcc rId="116" sId="1" odxf="1" dxf="1">
    <oc r="AT68">
      <f>SUM(AT60:AT67)</f>
    </oc>
    <nc r="AT68">
      <f>SUM(AT60:AT67)</f>
    </nc>
    <odxf>
      <border outline="0">
        <left style="thin">
          <color indexed="64"/>
        </left>
      </border>
    </odxf>
    <ndxf>
      <border outline="0">
        <left/>
      </border>
    </ndxf>
  </rcc>
  <rcc rId="117" sId="1" odxf="1" dxf="1">
    <oc r="AU68">
      <f>SUM(AU60:AU67)</f>
    </oc>
    <nc r="AU68">
      <f>SUM(AU60:AU67)</f>
    </nc>
    <odxf>
      <border outline="0">
        <left style="thin">
          <color indexed="64"/>
        </left>
      </border>
    </odxf>
    <ndxf>
      <border outline="0">
        <left/>
      </border>
    </ndxf>
  </rcc>
  <rcc rId="118" sId="1" odxf="1" dxf="1">
    <oc r="AV68">
      <f>SUM(AV60:AV67)</f>
    </oc>
    <nc r="AV68">
      <f>SUM(AV60:AV67)</f>
    </nc>
    <odxf>
      <border outline="0">
        <left style="thin">
          <color indexed="64"/>
        </left>
      </border>
    </odxf>
    <ndxf>
      <border outline="0">
        <left/>
      </border>
    </ndxf>
  </rcc>
  <rcc rId="119" sId="1" odxf="1" dxf="1">
    <oc r="AW68">
      <f>SUM(AW60:AW67)</f>
    </oc>
    <nc r="AW68">
      <f>SUM(AW60:AW67)</f>
    </nc>
    <odxf>
      <border outline="0">
        <left style="thin">
          <color indexed="64"/>
        </left>
        <right/>
      </border>
    </odxf>
    <ndxf>
      <border outline="0">
        <left/>
        <right style="thin">
          <color indexed="64"/>
        </right>
      </border>
    </ndxf>
  </rcc>
  <rcc rId="120" sId="1" odxf="1" dxf="1">
    <oc r="AX68">
      <f>SUM(AX60:AX67)</f>
    </oc>
    <nc r="AX68">
      <f>SUM(AX60:AX67)</f>
    </nc>
    <odxf>
      <border outline="0">
        <left style="medium">
          <color indexed="64"/>
        </left>
      </border>
    </odxf>
    <ndxf>
      <border outline="0">
        <left/>
      </border>
    </ndxf>
  </rcc>
  <rcc rId="121" sId="1" odxf="1" dxf="1">
    <oc r="AY68">
      <f>SUM(AY60:AY67)</f>
    </oc>
    <nc r="AY68">
      <f>SUM(AY60:AY67)</f>
    </nc>
    <odxf>
      <border outline="0">
        <left style="thin">
          <color indexed="64"/>
        </left>
      </border>
    </odxf>
    <ndxf>
      <border outline="0">
        <left/>
      </border>
    </ndxf>
  </rcc>
  <rcmt sheetId="1" cell="H52" guid="{42D656D1-329F-4807-9B6C-F00A7EB781D0}" author="Olga Rotman" newLength="41"/>
  <rcv guid="{CC5F2093-3D9D-446F-B0C0-37487A6D96B6}" action="delete"/>
  <rcv guid="{CC5F2093-3D9D-446F-B0C0-37487A6D96B6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" sId="1">
    <oc r="H13">
      <v>3</v>
    </oc>
    <nc r="H13">
      <v>2</v>
    </nc>
  </rcc>
  <rcv guid="{CC5F2093-3D9D-446F-B0C0-37487A6D96B6}" action="delete"/>
  <rcv guid="{CC5F2093-3D9D-446F-B0C0-37487A6D96B6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" sId="1">
    <oc r="I42">
      <v>7</v>
    </oc>
    <nc r="I42">
      <v>3</v>
    </nc>
  </rcc>
  <rcc rId="124" sId="1">
    <oc r="K42">
      <v>1</v>
    </oc>
    <nc r="K42">
      <v>2</v>
    </nc>
  </rcc>
  <rcc rId="125" sId="1">
    <oc r="L42">
      <v>3</v>
    </oc>
    <nc r="L42">
      <v>1</v>
    </nc>
  </rcc>
  <rfmt sheetId="1" sqref="H42" start="0" length="0">
    <dxf>
      <fill>
        <patternFill patternType="solid">
          <fgColor rgb="FF000000"/>
          <bgColor rgb="FFFFF2CC"/>
        </patternFill>
      </fill>
    </dxf>
  </rfmt>
  <rcmt sheetId="1" cell="H42" guid="{00000000-0000-0000-0000-000000000000}" action="delete" author="Olga Rotman"/>
  <rcc rId="126" sId="1">
    <nc r="H42">
      <v>3</v>
    </nc>
  </rcc>
  <rcc rId="127" sId="1">
    <oc r="C42">
      <v>8</v>
    </oc>
    <nc r="C42">
      <v>9</v>
    </nc>
  </rcc>
  <rcc rId="128" sId="1">
    <oc r="D42">
      <v>9</v>
    </oc>
    <nc r="D42">
      <v>12</v>
    </nc>
  </rcc>
  <rcc rId="129" sId="1">
    <oc r="AD42">
      <v>1</v>
    </oc>
    <nc r="AD42">
      <v>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" sId="1">
    <oc r="H17">
      <v>2</v>
    </oc>
    <nc r="H17">
      <v>1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7">
  <userInfo guid="{6E402850-D1F1-4734-9034-A22D46E10D51}" name="Olga Rotman" id="-1220355536" dateTime="2026-02-19T14:50:52"/>
  <userInfo guid="{3EC0E2AE-2685-40CA-83F0-387F35E47078}" name="Olga Rotman" id="-1220401254" dateTime="2026-02-22T09:56:01"/>
  <userInfo guid="{4FA03BBD-52CC-4F97-872B-1E328EDCF46B}" name="Kseniya Kholmogorova" id="-1371448732" dateTime="2026-02-24T09:18:06"/>
  <userInfo guid="{03D275E6-9279-4B40-9B6A-DC83910488C8}" name="Kseniya Kholmogorova" id="-1371468514" dateTime="2026-03-01T11:50:22"/>
  <userInfo guid="{95B9FF8E-07CC-42B8-BB5D-8126F12E9504}" name="Racheli Avraham" id="-745356413" dateTime="2026-03-02T11:33:02"/>
  <userInfo guid="{95B9FF8E-07CC-42B8-BB5D-8126F12E9504}" name="Kseniya Kholmogorova" id="-1371433869" dateTime="2026-03-02T14:29:21"/>
  <userInfo guid="{3EC0E2AE-2685-40CA-83F0-387F35E47078}" name="Ilana Dolgich ( at Flex)" id="-1263030162" dateTime="2026-03-04T13:41:3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2DF1-0C6A-4345-9ACB-C70F0BC512DE}">
  <dimension ref="A1:BA68"/>
  <sheetViews>
    <sheetView tabSelected="1" zoomScale="80" zoomScaleNormal="80" workbookViewId="0">
      <pane ySplit="1" topLeftCell="A2" activePane="bottomLeft" state="frozen"/>
      <selection pane="bottomLeft" activeCell="H11" sqref="H11"/>
    </sheetView>
  </sheetViews>
  <sheetFormatPr defaultRowHeight="14.25" x14ac:dyDescent="0.2"/>
  <cols>
    <col min="1" max="1" width="24.875" customWidth="1"/>
    <col min="2" max="2" width="24.75" customWidth="1"/>
    <col min="15" max="15" width="8.875" customWidth="1"/>
    <col min="24" max="24" width="8.875" customWidth="1"/>
  </cols>
  <sheetData>
    <row r="1" spans="1:53" ht="51.75" thickBot="1" x14ac:dyDescent="0.25">
      <c r="A1" s="53"/>
      <c r="B1" s="54" t="s">
        <v>0</v>
      </c>
      <c r="C1" s="55" t="s">
        <v>1</v>
      </c>
      <c r="D1" s="55" t="s">
        <v>2</v>
      </c>
      <c r="E1" s="55" t="s">
        <v>3</v>
      </c>
      <c r="F1" s="55" t="s">
        <v>4</v>
      </c>
      <c r="G1" s="56" t="s">
        <v>5</v>
      </c>
      <c r="H1" s="55" t="s">
        <v>6</v>
      </c>
      <c r="I1" s="55" t="s">
        <v>7</v>
      </c>
      <c r="J1" s="55" t="s">
        <v>8</v>
      </c>
      <c r="K1" s="55" t="s">
        <v>9</v>
      </c>
      <c r="L1" s="55" t="s">
        <v>10</v>
      </c>
      <c r="M1" s="55" t="s">
        <v>11</v>
      </c>
      <c r="N1" s="55" t="s">
        <v>12</v>
      </c>
      <c r="O1" s="3" t="s">
        <v>13</v>
      </c>
      <c r="P1" s="3" t="s">
        <v>14</v>
      </c>
      <c r="Q1" s="4" t="s">
        <v>15</v>
      </c>
      <c r="R1" s="55" t="s">
        <v>16</v>
      </c>
      <c r="S1" s="55" t="s">
        <v>17</v>
      </c>
      <c r="T1" s="55" t="s">
        <v>18</v>
      </c>
      <c r="U1" s="55" t="s">
        <v>19</v>
      </c>
      <c r="V1" s="55" t="s">
        <v>20</v>
      </c>
      <c r="W1" s="4" t="s">
        <v>21</v>
      </c>
      <c r="X1" s="4" t="s">
        <v>22</v>
      </c>
      <c r="Y1" s="4" t="s">
        <v>23</v>
      </c>
      <c r="Z1" s="55" t="s">
        <v>24</v>
      </c>
      <c r="AA1" s="55" t="s">
        <v>25</v>
      </c>
      <c r="AB1" s="55" t="s">
        <v>26</v>
      </c>
      <c r="AC1" s="55" t="s">
        <v>27</v>
      </c>
      <c r="AD1" s="55" t="s">
        <v>28</v>
      </c>
      <c r="AE1" s="55" t="s">
        <v>29</v>
      </c>
      <c r="AF1" s="55" t="s">
        <v>30</v>
      </c>
      <c r="AG1" s="55" t="s">
        <v>31</v>
      </c>
      <c r="AH1" s="55" t="s">
        <v>32</v>
      </c>
      <c r="AI1" s="57" t="s">
        <v>33</v>
      </c>
      <c r="AJ1" s="55" t="s">
        <v>34</v>
      </c>
      <c r="AK1" s="55" t="s">
        <v>35</v>
      </c>
      <c r="AL1" s="55" t="s">
        <v>36</v>
      </c>
      <c r="AM1" s="55" t="s">
        <v>37</v>
      </c>
      <c r="AN1" s="55" t="s">
        <v>38</v>
      </c>
      <c r="AO1" s="55" t="s">
        <v>39</v>
      </c>
      <c r="AP1" s="5" t="s">
        <v>40</v>
      </c>
      <c r="AQ1" s="55" t="s">
        <v>41</v>
      </c>
      <c r="AR1" s="55" t="s">
        <v>42</v>
      </c>
      <c r="AS1" s="55" t="s">
        <v>43</v>
      </c>
      <c r="AT1" s="55" t="s">
        <v>44</v>
      </c>
      <c r="AU1" s="55" t="s">
        <v>45</v>
      </c>
      <c r="AV1" s="55" t="s">
        <v>46</v>
      </c>
      <c r="AW1" s="55" t="s">
        <v>47</v>
      </c>
      <c r="AX1" s="55" t="s">
        <v>48</v>
      </c>
      <c r="AY1" s="55" t="s">
        <v>49</v>
      </c>
      <c r="AZ1" s="58"/>
      <c r="BA1" s="59"/>
    </row>
    <row r="2" spans="1:53" ht="16.5" thickBot="1" x14ac:dyDescent="0.3">
      <c r="A2" s="60" t="s">
        <v>50</v>
      </c>
      <c r="B2" s="61" t="s">
        <v>51</v>
      </c>
      <c r="C2" s="62"/>
      <c r="D2" s="6"/>
      <c r="E2" s="6"/>
      <c r="F2" s="6"/>
      <c r="G2" s="63"/>
      <c r="H2" s="64"/>
      <c r="I2" s="64"/>
      <c r="J2" s="63"/>
      <c r="K2" s="7"/>
      <c r="L2" s="65"/>
      <c r="M2" s="8"/>
      <c r="N2" s="8"/>
      <c r="O2" s="8"/>
      <c r="P2" s="8"/>
      <c r="Q2" s="8"/>
      <c r="R2" s="8"/>
      <c r="S2" s="66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67"/>
      <c r="AJ2" s="10"/>
      <c r="AK2" s="9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6"/>
      <c r="AX2" s="6"/>
      <c r="AY2" s="11"/>
      <c r="AZ2" s="68">
        <f t="shared" ref="AZ2:AZ56" si="0">SUM(C2:AY2)</f>
        <v>0</v>
      </c>
      <c r="BA2" s="12"/>
    </row>
    <row r="3" spans="1:53" ht="16.5" thickBot="1" x14ac:dyDescent="0.3">
      <c r="A3" s="69" t="s">
        <v>52</v>
      </c>
      <c r="B3" s="70" t="s">
        <v>53</v>
      </c>
      <c r="C3" s="71"/>
      <c r="D3" s="72"/>
      <c r="E3" s="72"/>
      <c r="F3" s="72"/>
      <c r="G3" s="72"/>
      <c r="H3" s="92">
        <v>2</v>
      </c>
      <c r="I3" s="92">
        <v>2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4"/>
      <c r="X3" s="74"/>
      <c r="Y3" s="72"/>
      <c r="Z3" s="72"/>
      <c r="AA3" s="72"/>
      <c r="AB3" s="72"/>
      <c r="AC3" s="72"/>
      <c r="AD3" s="72"/>
      <c r="AE3" s="72"/>
      <c r="AF3" s="72"/>
      <c r="AG3" s="72"/>
      <c r="AH3" s="75"/>
      <c r="AI3" s="72"/>
      <c r="AJ3" s="76"/>
      <c r="AK3" s="75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7"/>
      <c r="AZ3" s="68">
        <f t="shared" si="0"/>
        <v>4</v>
      </c>
      <c r="BA3" s="78"/>
    </row>
    <row r="4" spans="1:53" ht="16.5" thickBot="1" x14ac:dyDescent="0.3">
      <c r="A4" s="79" t="s">
        <v>54</v>
      </c>
      <c r="B4" s="70" t="s">
        <v>55</v>
      </c>
      <c r="C4" s="71"/>
      <c r="D4" s="80"/>
      <c r="E4" s="14"/>
      <c r="F4" s="14"/>
      <c r="G4" s="14"/>
      <c r="H4" s="13"/>
      <c r="I4" s="15"/>
      <c r="J4" s="14"/>
      <c r="K4" s="13"/>
      <c r="L4" s="81"/>
      <c r="M4" s="14"/>
      <c r="N4" s="14"/>
      <c r="O4" s="14"/>
      <c r="P4" s="14"/>
      <c r="Q4" s="14"/>
      <c r="R4" s="73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6"/>
      <c r="AI4" s="72"/>
      <c r="AJ4" s="17"/>
      <c r="AK4" s="16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8"/>
      <c r="AZ4" s="68">
        <f t="shared" si="0"/>
        <v>0</v>
      </c>
      <c r="BA4" s="82"/>
    </row>
    <row r="5" spans="1:53" ht="16.5" thickBot="1" x14ac:dyDescent="0.3">
      <c r="A5" s="79" t="s">
        <v>56</v>
      </c>
      <c r="B5" s="70" t="s">
        <v>57</v>
      </c>
      <c r="C5" s="19"/>
      <c r="D5" s="1"/>
      <c r="E5" s="1"/>
      <c r="F5" s="15"/>
      <c r="G5" s="1"/>
      <c r="H5" s="1"/>
      <c r="I5" s="1"/>
      <c r="J5" s="1"/>
      <c r="K5" s="13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4"/>
      <c r="X5" s="14"/>
      <c r="Y5" s="1"/>
      <c r="Z5" s="1"/>
      <c r="AA5" s="1"/>
      <c r="AB5" s="1"/>
      <c r="AC5" s="1"/>
      <c r="AD5" s="15"/>
      <c r="AE5" s="15"/>
      <c r="AF5" s="1"/>
      <c r="AG5" s="1"/>
      <c r="AH5" s="1"/>
      <c r="AI5" s="72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20"/>
      <c r="AZ5" s="68">
        <f t="shared" si="0"/>
        <v>0</v>
      </c>
      <c r="BA5" s="78"/>
    </row>
    <row r="6" spans="1:53" ht="16.5" thickBot="1" x14ac:dyDescent="0.3">
      <c r="A6" s="83" t="s">
        <v>58</v>
      </c>
      <c r="B6" s="70" t="s">
        <v>59</v>
      </c>
      <c r="C6" s="21"/>
      <c r="D6" s="1"/>
      <c r="E6" s="1"/>
      <c r="F6" s="1"/>
      <c r="G6" s="1"/>
      <c r="H6" s="84">
        <v>1</v>
      </c>
      <c r="I6" s="85">
        <v>1</v>
      </c>
      <c r="J6" s="1"/>
      <c r="K6" s="22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23"/>
      <c r="X6" s="23"/>
      <c r="Y6" s="1"/>
      <c r="Z6" s="1"/>
      <c r="AA6" s="13"/>
      <c r="AB6" s="13"/>
      <c r="AC6" s="13"/>
      <c r="AD6" s="1"/>
      <c r="AE6" s="1"/>
      <c r="AF6" s="1"/>
      <c r="AG6" s="1"/>
      <c r="AH6" s="24"/>
      <c r="AI6" s="72"/>
      <c r="AJ6" s="25"/>
      <c r="AK6" s="24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20"/>
      <c r="AZ6" s="68">
        <f t="shared" si="0"/>
        <v>2</v>
      </c>
      <c r="BA6" s="78"/>
    </row>
    <row r="7" spans="1:53" ht="16.5" thickBot="1" x14ac:dyDescent="0.3">
      <c r="A7" s="83" t="s">
        <v>60</v>
      </c>
      <c r="B7" s="70" t="s">
        <v>61</v>
      </c>
      <c r="C7" s="21"/>
      <c r="D7" s="1"/>
      <c r="E7" s="1"/>
      <c r="F7" s="1"/>
      <c r="G7" s="1"/>
      <c r="H7" s="73"/>
      <c r="I7" s="13"/>
      <c r="J7" s="1"/>
      <c r="K7" s="73"/>
      <c r="L7" s="15"/>
      <c r="M7" s="1"/>
      <c r="N7" s="1"/>
      <c r="O7" s="1"/>
      <c r="P7" s="1"/>
      <c r="Q7" s="1"/>
      <c r="R7" s="15"/>
      <c r="S7" s="1"/>
      <c r="T7" s="1"/>
      <c r="U7" s="15"/>
      <c r="V7" s="15"/>
      <c r="W7" s="14"/>
      <c r="X7" s="14"/>
      <c r="Y7" s="1"/>
      <c r="Z7" s="1"/>
      <c r="AA7" s="72"/>
      <c r="AB7" s="72"/>
      <c r="AC7" s="72"/>
      <c r="AD7" s="13"/>
      <c r="AE7" s="13"/>
      <c r="AF7" s="1"/>
      <c r="AG7" s="13"/>
      <c r="AH7" s="26"/>
      <c r="AI7" s="72"/>
      <c r="AJ7" s="27"/>
      <c r="AK7" s="26"/>
      <c r="AL7" s="1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20"/>
      <c r="AZ7" s="68">
        <f t="shared" si="0"/>
        <v>0</v>
      </c>
      <c r="BA7" s="78"/>
    </row>
    <row r="8" spans="1:53" ht="16.5" thickBot="1" x14ac:dyDescent="0.3">
      <c r="A8" s="86" t="s">
        <v>62</v>
      </c>
      <c r="B8" s="70" t="s">
        <v>180</v>
      </c>
      <c r="C8" s="21"/>
      <c r="D8" s="13"/>
      <c r="E8" s="13"/>
      <c r="F8" s="15"/>
      <c r="G8" s="15"/>
      <c r="H8" s="15"/>
      <c r="I8" s="15"/>
      <c r="J8" s="13"/>
      <c r="K8" s="15"/>
      <c r="L8" s="15"/>
      <c r="M8" s="1"/>
      <c r="N8" s="13"/>
      <c r="O8" s="73"/>
      <c r="P8" s="73"/>
      <c r="Q8" s="1"/>
      <c r="R8" s="73"/>
      <c r="S8" s="13"/>
      <c r="T8" s="15"/>
      <c r="U8" s="15"/>
      <c r="V8" s="80"/>
      <c r="W8" s="73"/>
      <c r="X8" s="73"/>
      <c r="Y8" s="28"/>
      <c r="Z8" s="1"/>
      <c r="AA8" s="72"/>
      <c r="AB8" s="72"/>
      <c r="AC8" s="72"/>
      <c r="AD8" s="13"/>
      <c r="AE8" s="13"/>
      <c r="AF8" s="87"/>
      <c r="AG8" s="13"/>
      <c r="AH8" s="26"/>
      <c r="AI8" s="72"/>
      <c r="AJ8" s="27"/>
      <c r="AK8" s="26"/>
      <c r="AL8" s="13"/>
      <c r="AM8" s="87"/>
      <c r="AN8" s="87"/>
      <c r="AO8" s="87"/>
      <c r="AP8" s="87"/>
      <c r="AQ8" s="87"/>
      <c r="AR8" s="87"/>
      <c r="AS8" s="87"/>
      <c r="AT8" s="87"/>
      <c r="AU8" s="87"/>
      <c r="AV8" s="80"/>
      <c r="AW8" s="13"/>
      <c r="AX8" s="13"/>
      <c r="AY8" s="29"/>
      <c r="AZ8" s="68">
        <f t="shared" si="0"/>
        <v>0</v>
      </c>
      <c r="BA8" s="78"/>
    </row>
    <row r="9" spans="1:53" ht="16.5" thickBot="1" x14ac:dyDescent="0.3">
      <c r="A9" s="69" t="s">
        <v>63</v>
      </c>
      <c r="B9" s="70" t="s">
        <v>64</v>
      </c>
      <c r="C9" s="21"/>
      <c r="D9" s="1"/>
      <c r="E9" s="13"/>
      <c r="F9" s="15"/>
      <c r="G9" s="15"/>
      <c r="H9" s="15"/>
      <c r="I9" s="15"/>
      <c r="J9" s="13"/>
      <c r="K9" s="80"/>
      <c r="L9" s="80"/>
      <c r="M9" s="1"/>
      <c r="N9" s="15"/>
      <c r="O9" s="73"/>
      <c r="P9" s="73"/>
      <c r="Q9" s="1"/>
      <c r="R9" s="73"/>
      <c r="S9" s="13"/>
      <c r="T9" s="13"/>
      <c r="U9" s="15"/>
      <c r="V9" s="80"/>
      <c r="W9" s="73"/>
      <c r="X9" s="73"/>
      <c r="Y9" s="28"/>
      <c r="Z9" s="1"/>
      <c r="AA9" s="72"/>
      <c r="AB9" s="72"/>
      <c r="AC9" s="72"/>
      <c r="AD9" s="13"/>
      <c r="AE9" s="13"/>
      <c r="AF9" s="87"/>
      <c r="AG9" s="13"/>
      <c r="AH9" s="26"/>
      <c r="AI9" s="72"/>
      <c r="AJ9" s="27"/>
      <c r="AK9" s="26"/>
      <c r="AL9" s="13"/>
      <c r="AM9" s="87"/>
      <c r="AN9" s="87"/>
      <c r="AO9" s="87"/>
      <c r="AP9" s="87"/>
      <c r="AQ9" s="87"/>
      <c r="AR9" s="87"/>
      <c r="AS9" s="87"/>
      <c r="AT9" s="87"/>
      <c r="AU9" s="87"/>
      <c r="AV9" s="80"/>
      <c r="AW9" s="13"/>
      <c r="AX9" s="13"/>
      <c r="AY9" s="29"/>
      <c r="AZ9" s="68">
        <f t="shared" si="0"/>
        <v>0</v>
      </c>
      <c r="BA9" s="78"/>
    </row>
    <row r="10" spans="1:53" ht="16.5" thickBot="1" x14ac:dyDescent="0.3">
      <c r="A10" s="69" t="s">
        <v>65</v>
      </c>
      <c r="B10" s="70" t="s">
        <v>66</v>
      </c>
      <c r="C10" s="21"/>
      <c r="D10" s="1"/>
      <c r="E10" s="13"/>
      <c r="F10" s="15"/>
      <c r="G10" s="15"/>
      <c r="H10" s="15"/>
      <c r="I10" s="15"/>
      <c r="J10" s="13"/>
      <c r="K10" s="80"/>
      <c r="L10" s="15"/>
      <c r="M10" s="1"/>
      <c r="N10" s="15"/>
      <c r="O10" s="73"/>
      <c r="P10" s="73"/>
      <c r="Q10" s="1"/>
      <c r="R10" s="73"/>
      <c r="S10" s="13"/>
      <c r="T10" s="13"/>
      <c r="U10" s="15"/>
      <c r="V10" s="80"/>
      <c r="W10" s="73"/>
      <c r="X10" s="73"/>
      <c r="Y10" s="28"/>
      <c r="Z10" s="1"/>
      <c r="AA10" s="72"/>
      <c r="AB10" s="72"/>
      <c r="AC10" s="72"/>
      <c r="AD10" s="13"/>
      <c r="AE10" s="13"/>
      <c r="AF10" s="87"/>
      <c r="AG10" s="13"/>
      <c r="AH10" s="26"/>
      <c r="AI10" s="72"/>
      <c r="AJ10" s="27"/>
      <c r="AK10" s="26"/>
      <c r="AL10" s="13"/>
      <c r="AM10" s="87"/>
      <c r="AN10" s="87"/>
      <c r="AO10" s="87"/>
      <c r="AP10" s="87"/>
      <c r="AQ10" s="87"/>
      <c r="AR10" s="87"/>
      <c r="AS10" s="87"/>
      <c r="AT10" s="87"/>
      <c r="AU10" s="87"/>
      <c r="AV10" s="80"/>
      <c r="AW10" s="13"/>
      <c r="AX10" s="13"/>
      <c r="AY10" s="29"/>
      <c r="AZ10" s="68">
        <f t="shared" si="0"/>
        <v>0</v>
      </c>
      <c r="BA10" s="78"/>
    </row>
    <row r="11" spans="1:53" ht="15.75" thickBot="1" x14ac:dyDescent="0.3">
      <c r="A11" s="83" t="s">
        <v>67</v>
      </c>
      <c r="B11" s="70" t="s">
        <v>68</v>
      </c>
      <c r="C11" s="88">
        <v>3</v>
      </c>
      <c r="D11" s="2">
        <v>3</v>
      </c>
      <c r="E11" s="80"/>
      <c r="F11" s="8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4"/>
      <c r="X11" s="14"/>
      <c r="Y11" s="1"/>
      <c r="Z11" s="1"/>
      <c r="AA11" s="1"/>
      <c r="AB11" s="1"/>
      <c r="AC11" s="1"/>
      <c r="AD11" s="1"/>
      <c r="AE11" s="1"/>
      <c r="AF11" s="1"/>
      <c r="AG11" s="1"/>
      <c r="AH11" s="24"/>
      <c r="AI11" s="72"/>
      <c r="AJ11" s="25"/>
      <c r="AK11" s="24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80"/>
      <c r="AX11" s="80"/>
      <c r="AY11" s="89"/>
      <c r="AZ11" s="68">
        <f t="shared" si="0"/>
        <v>6</v>
      </c>
      <c r="BA11" s="90"/>
    </row>
    <row r="12" spans="1:53" ht="16.5" thickBot="1" x14ac:dyDescent="0.3">
      <c r="A12" s="83" t="s">
        <v>69</v>
      </c>
      <c r="B12" s="70" t="s">
        <v>70</v>
      </c>
      <c r="C12" s="91"/>
      <c r="D12" s="1"/>
      <c r="E12" s="1"/>
      <c r="F12" s="1"/>
      <c r="G12" s="1"/>
      <c r="H12" s="13"/>
      <c r="I12" s="13"/>
      <c r="J12" s="1"/>
      <c r="K12" s="1"/>
      <c r="L12" s="72"/>
      <c r="M12" s="72"/>
      <c r="N12" s="1"/>
      <c r="O12" s="1"/>
      <c r="P12" s="1"/>
      <c r="Q12" s="1"/>
      <c r="R12" s="72"/>
      <c r="S12" s="1"/>
      <c r="T12" s="1"/>
      <c r="U12" s="1"/>
      <c r="V12" s="1"/>
      <c r="W12" s="23"/>
      <c r="X12" s="23"/>
      <c r="Y12" s="1"/>
      <c r="Z12" s="1"/>
      <c r="AA12" s="80"/>
      <c r="AB12" s="80"/>
      <c r="AC12" s="80"/>
      <c r="AD12" s="1"/>
      <c r="AE12" s="1"/>
      <c r="AF12" s="1"/>
      <c r="AG12" s="1"/>
      <c r="AH12" s="1"/>
      <c r="AI12" s="7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20"/>
      <c r="AZ12" s="68">
        <f t="shared" si="0"/>
        <v>0</v>
      </c>
      <c r="BA12" s="78"/>
    </row>
    <row r="13" spans="1:53" ht="16.5" thickBot="1" x14ac:dyDescent="0.3">
      <c r="A13" s="83" t="s">
        <v>71</v>
      </c>
      <c r="B13" s="70" t="s">
        <v>72</v>
      </c>
      <c r="C13" s="21"/>
      <c r="D13" s="1"/>
      <c r="E13" s="1"/>
      <c r="F13" s="72"/>
      <c r="G13" s="13"/>
      <c r="H13" s="92">
        <v>2</v>
      </c>
      <c r="I13" s="13"/>
      <c r="J13" s="13"/>
      <c r="K13" s="172"/>
      <c r="M13" s="1"/>
      <c r="N13" s="1"/>
      <c r="O13" s="1"/>
      <c r="P13" s="1"/>
      <c r="Q13" s="1"/>
      <c r="R13" s="13"/>
      <c r="S13" s="13"/>
      <c r="T13" s="13"/>
      <c r="U13" s="92">
        <v>5</v>
      </c>
      <c r="V13" s="93"/>
      <c r="W13" s="14"/>
      <c r="X13" s="14"/>
      <c r="Y13" s="1"/>
      <c r="Z13" s="1"/>
      <c r="AA13" s="13"/>
      <c r="AB13" s="13"/>
      <c r="AC13" s="13"/>
      <c r="AD13" s="13"/>
      <c r="AE13" s="13"/>
      <c r="AF13" s="1"/>
      <c r="AG13" s="13"/>
      <c r="AH13" s="26"/>
      <c r="AI13" s="72"/>
      <c r="AJ13" s="27"/>
      <c r="AK13" s="26"/>
      <c r="AL13" s="13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20"/>
      <c r="AZ13" s="68">
        <f t="shared" si="0"/>
        <v>7</v>
      </c>
      <c r="BA13" s="90"/>
    </row>
    <row r="14" spans="1:53" ht="15.75" thickBot="1" x14ac:dyDescent="0.3">
      <c r="A14" s="83" t="s">
        <v>73</v>
      </c>
      <c r="B14" s="70" t="s">
        <v>74</v>
      </c>
      <c r="C14" s="21"/>
      <c r="D14" s="1"/>
      <c r="E14" s="1"/>
      <c r="F14" s="1"/>
      <c r="G14" s="1"/>
      <c r="H14" s="1"/>
      <c r="I14" s="1"/>
      <c r="J14" s="13"/>
      <c r="K14" s="1"/>
      <c r="L14" s="1"/>
      <c r="M14" s="1"/>
      <c r="N14" s="1"/>
      <c r="O14" s="1"/>
      <c r="P14" s="1"/>
      <c r="Q14" s="1"/>
      <c r="R14" s="13"/>
      <c r="S14" s="13"/>
      <c r="T14" s="13"/>
      <c r="U14" s="13"/>
      <c r="V14" s="13"/>
      <c r="W14" s="14"/>
      <c r="X14" s="14"/>
      <c r="Y14" s="1"/>
      <c r="Z14" s="1"/>
      <c r="AA14" s="1"/>
      <c r="AB14" s="1"/>
      <c r="AC14" s="1"/>
      <c r="AD14" s="13"/>
      <c r="AE14" s="13"/>
      <c r="AF14" s="1"/>
      <c r="AG14" s="13"/>
      <c r="AH14" s="26"/>
      <c r="AI14" s="72"/>
      <c r="AJ14" s="27"/>
      <c r="AK14" s="26"/>
      <c r="AL14" s="13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20"/>
      <c r="AZ14" s="68">
        <f t="shared" si="0"/>
        <v>0</v>
      </c>
      <c r="BA14" s="78"/>
    </row>
    <row r="15" spans="1:53" ht="16.5" thickBot="1" x14ac:dyDescent="0.3">
      <c r="A15" s="83" t="s">
        <v>75</v>
      </c>
      <c r="B15" s="70" t="s">
        <v>76</v>
      </c>
      <c r="C15" s="21"/>
      <c r="D15" s="1"/>
      <c r="E15" s="1"/>
      <c r="F15" s="1"/>
      <c r="G15" s="1"/>
      <c r="H15" s="74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5"/>
      <c r="X15" s="15"/>
      <c r="Y15" s="1"/>
      <c r="Z15" s="1"/>
      <c r="AA15" s="13"/>
      <c r="AB15" s="13"/>
      <c r="AC15" s="13"/>
      <c r="AD15" s="1"/>
      <c r="AE15" s="1"/>
      <c r="AF15" s="1"/>
      <c r="AG15" s="1"/>
      <c r="AH15" s="24"/>
      <c r="AI15" s="72"/>
      <c r="AJ15" s="25"/>
      <c r="AK15" s="24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20"/>
      <c r="AZ15" s="68">
        <f t="shared" si="0"/>
        <v>0</v>
      </c>
      <c r="BA15" s="90"/>
    </row>
    <row r="16" spans="1:53" ht="16.5" thickBot="1" x14ac:dyDescent="0.3">
      <c r="A16" s="83" t="s">
        <v>77</v>
      </c>
      <c r="B16" s="70" t="s">
        <v>78</v>
      </c>
      <c r="C16" s="21"/>
      <c r="D16" s="1"/>
      <c r="E16" s="73"/>
      <c r="F16" s="80"/>
      <c r="G16" s="1"/>
      <c r="H16" s="92">
        <v>1</v>
      </c>
      <c r="I16" s="13"/>
      <c r="J16" s="1"/>
      <c r="K16" s="92">
        <v>1</v>
      </c>
      <c r="L16" s="1"/>
      <c r="M16" s="1"/>
      <c r="N16" s="1"/>
      <c r="O16" s="1"/>
      <c r="P16" s="1"/>
      <c r="Q16" s="1"/>
      <c r="R16" s="1"/>
      <c r="S16" s="1"/>
      <c r="T16" s="1"/>
      <c r="U16" s="13"/>
      <c r="V16" s="13"/>
      <c r="W16" s="13"/>
      <c r="X16" s="13"/>
      <c r="Y16" s="1"/>
      <c r="Z16" s="1"/>
      <c r="AA16" s="13"/>
      <c r="AB16" s="13"/>
      <c r="AC16" s="13"/>
      <c r="AD16" s="13"/>
      <c r="AE16" s="13"/>
      <c r="AF16" s="1"/>
      <c r="AG16" s="13"/>
      <c r="AH16" s="26"/>
      <c r="AI16" s="72"/>
      <c r="AJ16" s="27"/>
      <c r="AK16" s="26"/>
      <c r="AL16" s="13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20"/>
      <c r="AZ16" s="68">
        <f t="shared" si="0"/>
        <v>2</v>
      </c>
      <c r="BA16" s="90"/>
    </row>
    <row r="17" spans="1:53" ht="16.5" thickBot="1" x14ac:dyDescent="0.3">
      <c r="A17" s="83" t="s">
        <v>79</v>
      </c>
      <c r="B17" s="70" t="s">
        <v>80</v>
      </c>
      <c r="C17" s="94"/>
      <c r="D17" s="1"/>
      <c r="E17" s="1"/>
      <c r="F17" s="1"/>
      <c r="G17" s="1"/>
      <c r="H17" s="95">
        <v>1</v>
      </c>
      <c r="I17" s="85">
        <v>1</v>
      </c>
      <c r="J17" s="1"/>
      <c r="K17" s="96"/>
      <c r="L17" s="13"/>
      <c r="M17" s="1"/>
      <c r="N17" s="1"/>
      <c r="O17" s="1"/>
      <c r="P17" s="1"/>
      <c r="Q17" s="1"/>
      <c r="R17" s="1"/>
      <c r="S17" s="1"/>
      <c r="T17" s="1"/>
      <c r="U17" s="13"/>
      <c r="V17" s="13"/>
      <c r="W17" s="14"/>
      <c r="X17" s="14"/>
      <c r="Y17" s="1"/>
      <c r="Z17" s="1"/>
      <c r="AA17" s="13"/>
      <c r="AB17" s="13"/>
      <c r="AC17" s="13"/>
      <c r="AD17" s="1"/>
      <c r="AE17" s="1"/>
      <c r="AF17" s="1"/>
      <c r="AG17" s="1"/>
      <c r="AH17" s="24"/>
      <c r="AI17" s="72"/>
      <c r="AJ17" s="25"/>
      <c r="AK17" s="24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20"/>
      <c r="AZ17" s="68">
        <f t="shared" si="0"/>
        <v>2</v>
      </c>
      <c r="BA17" s="90"/>
    </row>
    <row r="18" spans="1:53" ht="15.75" thickBot="1" x14ac:dyDescent="0.3">
      <c r="A18" s="83" t="s">
        <v>81</v>
      </c>
      <c r="B18" s="70" t="s">
        <v>82</v>
      </c>
      <c r="C18" s="94"/>
      <c r="D18" s="1"/>
      <c r="E18" s="1"/>
      <c r="F18" s="13"/>
      <c r="G18" s="1"/>
      <c r="H18" s="13"/>
      <c r="I18" s="13"/>
      <c r="J18" s="1"/>
      <c r="K18" s="13"/>
      <c r="L18" s="13"/>
      <c r="M18" s="1"/>
      <c r="N18" s="1"/>
      <c r="O18" s="1"/>
      <c r="P18" s="1"/>
      <c r="Q18" s="1"/>
      <c r="R18" s="13"/>
      <c r="S18" s="1"/>
      <c r="T18" s="1"/>
      <c r="U18" s="13"/>
      <c r="V18" s="1"/>
      <c r="W18" s="14"/>
      <c r="X18" s="14"/>
      <c r="Y18" s="1"/>
      <c r="Z18" s="1"/>
      <c r="AA18" s="13"/>
      <c r="AB18" s="13"/>
      <c r="AC18" s="13"/>
      <c r="AD18" s="1"/>
      <c r="AE18" s="1"/>
      <c r="AF18" s="1"/>
      <c r="AG18" s="1"/>
      <c r="AH18" s="24"/>
      <c r="AI18" s="72"/>
      <c r="AJ18" s="25"/>
      <c r="AK18" s="24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20"/>
      <c r="AZ18" s="68">
        <f t="shared" si="0"/>
        <v>0</v>
      </c>
      <c r="BA18" s="90"/>
    </row>
    <row r="19" spans="1:53" ht="15.75" thickBot="1" x14ac:dyDescent="0.3">
      <c r="A19" s="83" t="s">
        <v>83</v>
      </c>
      <c r="B19" s="70" t="s">
        <v>84</v>
      </c>
      <c r="C19" s="21"/>
      <c r="D19" s="1"/>
      <c r="E19" s="1"/>
      <c r="F19" s="1"/>
      <c r="G19" s="1"/>
      <c r="H19" s="13"/>
      <c r="I19" s="1"/>
      <c r="J19" s="13"/>
      <c r="K19" s="1"/>
      <c r="L19" s="13"/>
      <c r="M19" s="1"/>
      <c r="N19" s="1"/>
      <c r="O19" s="1"/>
      <c r="P19" s="1"/>
      <c r="Q19" s="1"/>
      <c r="R19" s="1"/>
      <c r="S19" s="13"/>
      <c r="T19" s="13"/>
      <c r="U19" s="1"/>
      <c r="V19" s="1"/>
      <c r="W19" s="74"/>
      <c r="X19" s="74"/>
      <c r="Y19" s="1"/>
      <c r="Z19" s="1"/>
      <c r="AA19" s="1"/>
      <c r="AB19" s="1"/>
      <c r="AC19" s="1"/>
      <c r="AD19" s="1"/>
      <c r="AE19" s="1"/>
      <c r="AF19" s="1"/>
      <c r="AG19" s="1"/>
      <c r="AH19" s="24"/>
      <c r="AI19" s="72"/>
      <c r="AJ19" s="25"/>
      <c r="AK19" s="24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20"/>
      <c r="AZ19" s="68">
        <f t="shared" si="0"/>
        <v>0</v>
      </c>
      <c r="BA19" s="78"/>
    </row>
    <row r="20" spans="1:53" ht="15.75" thickBot="1" x14ac:dyDescent="0.3">
      <c r="A20" s="83" t="s">
        <v>85</v>
      </c>
      <c r="B20" s="70" t="s">
        <v>86</v>
      </c>
      <c r="C20" s="21"/>
      <c r="D20" s="1"/>
      <c r="E20" s="1"/>
      <c r="F20" s="1"/>
      <c r="G20" s="80"/>
      <c r="H20" s="13"/>
      <c r="I20" s="97"/>
      <c r="J20" s="13"/>
      <c r="K20" s="1"/>
      <c r="L20" s="1"/>
      <c r="M20" s="1"/>
      <c r="N20" s="1"/>
      <c r="O20" s="1"/>
      <c r="P20" s="1"/>
      <c r="Q20" s="1"/>
      <c r="R20" s="1"/>
      <c r="S20" s="13"/>
      <c r="T20" s="13"/>
      <c r="U20" s="1"/>
      <c r="V20" s="1"/>
      <c r="W20" s="14"/>
      <c r="X20" s="14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7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20"/>
      <c r="AZ20" s="68">
        <f t="shared" si="0"/>
        <v>0</v>
      </c>
      <c r="BA20" s="78"/>
    </row>
    <row r="21" spans="1:53" ht="16.5" thickBot="1" x14ac:dyDescent="0.3">
      <c r="A21" s="83" t="s">
        <v>87</v>
      </c>
      <c r="B21" s="70" t="s">
        <v>88</v>
      </c>
      <c r="C21" s="21"/>
      <c r="D21" s="1"/>
      <c r="E21" s="1"/>
      <c r="F21" s="1"/>
      <c r="G21" s="80"/>
      <c r="H21" s="172"/>
      <c r="I21" s="172"/>
      <c r="J21" s="13"/>
      <c r="K21" s="1"/>
      <c r="L21" s="1"/>
      <c r="M21" s="1"/>
      <c r="N21" s="1"/>
      <c r="O21" s="1"/>
      <c r="P21" s="1"/>
      <c r="Q21" s="1"/>
      <c r="R21" s="172"/>
      <c r="S21" s="13"/>
      <c r="T21" s="13"/>
      <c r="U21" s="1"/>
      <c r="V21" s="1"/>
      <c r="W21" s="14"/>
      <c r="X21" s="14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7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20"/>
      <c r="AZ21" s="68">
        <f t="shared" si="0"/>
        <v>0</v>
      </c>
      <c r="BA21" s="78"/>
    </row>
    <row r="22" spans="1:53" ht="16.5" thickBot="1" x14ac:dyDescent="0.3">
      <c r="A22" s="83" t="s">
        <v>89</v>
      </c>
      <c r="B22" s="70" t="s">
        <v>90</v>
      </c>
      <c r="C22" s="21"/>
      <c r="D22" s="1"/>
      <c r="E22" s="1"/>
      <c r="F22" s="1"/>
      <c r="G22" s="1"/>
      <c r="H22" s="13"/>
      <c r="I22" s="96"/>
      <c r="J22" s="1"/>
      <c r="K22" s="1"/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5"/>
      <c r="X22" s="15"/>
      <c r="Y22" s="1"/>
      <c r="Z22" s="1"/>
      <c r="AA22" s="13"/>
      <c r="AB22" s="13"/>
      <c r="AC22" s="13"/>
      <c r="AD22" s="1"/>
      <c r="AE22" s="1"/>
      <c r="AF22" s="1"/>
      <c r="AG22" s="1"/>
      <c r="AH22" s="1"/>
      <c r="AI22" s="7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20"/>
      <c r="AZ22" s="68">
        <f t="shared" si="0"/>
        <v>0</v>
      </c>
      <c r="BA22" s="78"/>
    </row>
    <row r="23" spans="1:53" ht="16.5" thickBot="1" x14ac:dyDescent="0.3">
      <c r="A23" s="83" t="s">
        <v>91</v>
      </c>
      <c r="B23" s="70" t="s">
        <v>92</v>
      </c>
      <c r="C23" s="98"/>
      <c r="D23" s="1"/>
      <c r="E23" s="1"/>
      <c r="F23" s="1"/>
      <c r="G23" s="1"/>
      <c r="H23" s="1" t="s">
        <v>93</v>
      </c>
      <c r="I23" s="1"/>
      <c r="J23" s="13"/>
      <c r="K23" s="1"/>
      <c r="L23" s="1"/>
      <c r="M23" s="1"/>
      <c r="N23" s="1"/>
      <c r="O23" s="1"/>
      <c r="P23" s="1"/>
      <c r="Q23" s="1"/>
      <c r="R23" s="1"/>
      <c r="S23" s="13"/>
      <c r="T23" s="1"/>
      <c r="U23" s="96"/>
      <c r="V23" s="96"/>
      <c r="W23" s="14"/>
      <c r="X23" s="14"/>
      <c r="Y23" s="1"/>
      <c r="Z23" s="1"/>
      <c r="AA23" s="15"/>
      <c r="AB23" s="15"/>
      <c r="AC23" s="15"/>
      <c r="AD23" s="1"/>
      <c r="AE23" s="1"/>
      <c r="AF23" s="1"/>
      <c r="AG23" s="1"/>
      <c r="AH23" s="1"/>
      <c r="AI23" s="7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20"/>
      <c r="AZ23" s="68">
        <f t="shared" si="0"/>
        <v>0</v>
      </c>
      <c r="BA23" s="78"/>
    </row>
    <row r="24" spans="1:53" ht="15.75" thickBot="1" x14ac:dyDescent="0.3">
      <c r="A24" s="83" t="s">
        <v>94</v>
      </c>
      <c r="B24" s="70" t="s">
        <v>95</v>
      </c>
      <c r="C24" s="98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81"/>
      <c r="AO24" s="1"/>
      <c r="AP24" s="1"/>
      <c r="AQ24" s="1"/>
      <c r="AR24" s="1"/>
      <c r="AS24" s="1"/>
      <c r="AT24" s="1"/>
      <c r="AU24" s="1"/>
      <c r="AV24" s="1"/>
      <c r="AW24" s="13"/>
      <c r="AX24" s="13"/>
      <c r="AY24" s="29"/>
      <c r="AZ24" s="68">
        <f t="shared" si="0"/>
        <v>0</v>
      </c>
      <c r="BA24" s="78"/>
    </row>
    <row r="25" spans="1:53" ht="16.5" thickBot="1" x14ac:dyDescent="0.3">
      <c r="A25" s="79" t="s">
        <v>96</v>
      </c>
      <c r="B25" s="70" t="s">
        <v>97</v>
      </c>
      <c r="C25" s="21"/>
      <c r="D25" s="13"/>
      <c r="E25" s="13"/>
      <c r="F25" s="13"/>
      <c r="G25" s="13"/>
      <c r="H25" s="73"/>
      <c r="I25" s="13"/>
      <c r="J25" s="13"/>
      <c r="K25" s="13"/>
      <c r="L25" s="13"/>
      <c r="M25" s="1"/>
      <c r="N25" s="1"/>
      <c r="O25" s="1"/>
      <c r="P25" s="1"/>
      <c r="Q25" s="1"/>
      <c r="R25" s="13"/>
      <c r="S25" s="13"/>
      <c r="T25" s="13"/>
      <c r="U25" s="1"/>
      <c r="V25" s="1"/>
      <c r="W25" s="14"/>
      <c r="X25" s="14"/>
      <c r="Y25" s="1"/>
      <c r="Z25" s="1"/>
      <c r="AA25" s="13"/>
      <c r="AB25" s="13"/>
      <c r="AC25" s="13"/>
      <c r="AD25" s="1"/>
      <c r="AE25" s="1"/>
      <c r="AF25" s="1"/>
      <c r="AG25" s="1"/>
      <c r="AH25" s="1"/>
      <c r="AI25" s="72"/>
      <c r="AJ25" s="1"/>
      <c r="AK25" s="1"/>
      <c r="AL25" s="1"/>
      <c r="AM25" s="1"/>
      <c r="AN25" s="1"/>
      <c r="AO25" s="13"/>
      <c r="AP25" s="13"/>
      <c r="AQ25" s="13"/>
      <c r="AR25" s="13"/>
      <c r="AS25" s="13"/>
      <c r="AT25" s="13"/>
      <c r="AU25" s="72"/>
      <c r="AV25" s="96"/>
      <c r="AW25" s="13"/>
      <c r="AX25" s="13"/>
      <c r="AY25" s="29"/>
      <c r="AZ25" s="68">
        <f t="shared" si="0"/>
        <v>0</v>
      </c>
      <c r="BA25" s="78"/>
    </row>
    <row r="26" spans="1:53" ht="16.5" thickBot="1" x14ac:dyDescent="0.3">
      <c r="A26" s="79" t="s">
        <v>98</v>
      </c>
      <c r="B26" s="70" t="s">
        <v>99</v>
      </c>
      <c r="C26" s="19"/>
      <c r="D26" s="13"/>
      <c r="E26" s="72"/>
      <c r="F26" s="15"/>
      <c r="G26" s="15"/>
      <c r="H26" s="15"/>
      <c r="I26" s="15"/>
      <c r="J26" s="13"/>
      <c r="K26" s="15"/>
      <c r="L26" s="13"/>
      <c r="M26" s="1"/>
      <c r="N26" s="1"/>
      <c r="O26" s="80"/>
      <c r="P26" s="80"/>
      <c r="Q26" s="1"/>
      <c r="R26" s="73"/>
      <c r="S26" s="13"/>
      <c r="T26" s="13"/>
      <c r="U26" s="13"/>
      <c r="V26" s="13"/>
      <c r="W26" s="13"/>
      <c r="X26" s="14"/>
      <c r="Y26" s="1"/>
      <c r="Z26" s="1"/>
      <c r="AA26" s="72"/>
      <c r="AB26" s="72"/>
      <c r="AC26" s="72"/>
      <c r="AD26" s="80"/>
      <c r="AE26" s="80"/>
      <c r="AF26" s="13"/>
      <c r="AG26" s="80"/>
      <c r="AH26" s="72"/>
      <c r="AI26" s="72"/>
      <c r="AJ26" s="80"/>
      <c r="AK26" s="80"/>
      <c r="AL26" s="80"/>
      <c r="AM26" s="13"/>
      <c r="AN26" s="13"/>
      <c r="AO26" s="13"/>
      <c r="AP26" s="13"/>
      <c r="AQ26" s="13"/>
      <c r="AR26" s="13"/>
      <c r="AS26" s="13"/>
      <c r="AT26" s="13"/>
      <c r="AU26" s="72"/>
      <c r="AV26" s="96"/>
      <c r="AW26" s="13"/>
      <c r="AX26" s="13"/>
      <c r="AY26" s="29"/>
      <c r="AZ26" s="68">
        <f t="shared" si="0"/>
        <v>0</v>
      </c>
      <c r="BA26" s="78"/>
    </row>
    <row r="27" spans="1:53" ht="15.75" thickBot="1" x14ac:dyDescent="0.3">
      <c r="A27" s="79" t="s">
        <v>100</v>
      </c>
      <c r="B27" s="70" t="s">
        <v>101</v>
      </c>
      <c r="C27" s="99"/>
      <c r="D27" s="13"/>
      <c r="E27" s="13"/>
      <c r="F27" s="13"/>
      <c r="G27" s="13"/>
      <c r="H27" s="13"/>
      <c r="I27" s="13"/>
      <c r="J27" s="13"/>
      <c r="K27" s="13"/>
      <c r="L27" s="13"/>
      <c r="M27" s="1"/>
      <c r="N27" s="13"/>
      <c r="O27" s="80"/>
      <c r="P27" s="80"/>
      <c r="Q27" s="1"/>
      <c r="R27" s="13"/>
      <c r="S27" s="13"/>
      <c r="T27" s="13"/>
      <c r="U27" s="13"/>
      <c r="V27" s="13"/>
      <c r="W27" s="13"/>
      <c r="X27" s="14"/>
      <c r="Y27" s="1"/>
      <c r="Z27" s="1"/>
      <c r="AA27" s="72"/>
      <c r="AB27" s="72"/>
      <c r="AC27" s="72"/>
      <c r="AD27" s="80"/>
      <c r="AE27" s="80"/>
      <c r="AF27" s="13"/>
      <c r="AG27" s="80"/>
      <c r="AH27" s="72"/>
      <c r="AI27" s="72"/>
      <c r="AJ27" s="80"/>
      <c r="AK27" s="80"/>
      <c r="AL27" s="80"/>
      <c r="AM27" s="13"/>
      <c r="AN27" s="13"/>
      <c r="AO27" s="80"/>
      <c r="AP27" s="80"/>
      <c r="AQ27" s="80"/>
      <c r="AR27" s="80"/>
      <c r="AS27" s="80"/>
      <c r="AT27" s="80"/>
      <c r="AU27" s="80"/>
      <c r="AV27" s="80"/>
      <c r="AW27" s="74"/>
      <c r="AX27" s="74"/>
      <c r="AY27" s="100"/>
      <c r="AZ27" s="68">
        <f t="shared" si="0"/>
        <v>0</v>
      </c>
      <c r="BA27" s="78"/>
    </row>
    <row r="28" spans="1:53" ht="15.75" thickBot="1" x14ac:dyDescent="0.3">
      <c r="A28" s="83" t="s">
        <v>102</v>
      </c>
      <c r="B28" s="70" t="s">
        <v>103</v>
      </c>
      <c r="C28" s="19"/>
      <c r="D28" s="74"/>
      <c r="E28" s="13"/>
      <c r="F28" s="13"/>
      <c r="G28" s="13"/>
      <c r="H28" s="13"/>
      <c r="I28" s="13"/>
      <c r="J28" s="13"/>
      <c r="K28" s="13"/>
      <c r="L28" s="13"/>
      <c r="M28" s="1"/>
      <c r="N28" s="13"/>
      <c r="O28" s="13"/>
      <c r="P28" s="13"/>
      <c r="Q28" s="1"/>
      <c r="R28" s="72"/>
      <c r="S28" s="13"/>
      <c r="T28" s="13"/>
      <c r="U28" s="80"/>
      <c r="V28" s="80"/>
      <c r="W28" s="23"/>
      <c r="X28" s="23"/>
      <c r="Y28" s="1"/>
      <c r="Z28" s="1"/>
      <c r="AA28" s="72"/>
      <c r="AB28" s="72"/>
      <c r="AC28" s="72"/>
      <c r="AD28" s="80"/>
      <c r="AE28" s="80"/>
      <c r="AF28" s="80"/>
      <c r="AG28" s="80"/>
      <c r="AH28" s="80"/>
      <c r="AI28" s="72"/>
      <c r="AJ28" s="80"/>
      <c r="AK28" s="72"/>
      <c r="AL28" s="72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74"/>
      <c r="AX28" s="74"/>
      <c r="AY28" s="100"/>
      <c r="AZ28" s="68">
        <f t="shared" si="0"/>
        <v>0</v>
      </c>
      <c r="BA28" s="78"/>
    </row>
    <row r="29" spans="1:53" ht="15.75" thickBot="1" x14ac:dyDescent="0.3">
      <c r="A29" s="79" t="s">
        <v>104</v>
      </c>
      <c r="B29" s="70" t="s">
        <v>105</v>
      </c>
      <c r="C29" s="19"/>
      <c r="D29" s="74"/>
      <c r="E29" s="13"/>
      <c r="F29" s="72"/>
      <c r="G29" s="13"/>
      <c r="H29" s="13"/>
      <c r="I29" s="13"/>
      <c r="J29" s="72"/>
      <c r="K29" s="72"/>
      <c r="L29" s="13"/>
      <c r="M29" s="1"/>
      <c r="N29" s="74"/>
      <c r="O29" s="13"/>
      <c r="P29" s="13"/>
      <c r="Q29" s="1"/>
      <c r="R29" s="72"/>
      <c r="S29" s="13"/>
      <c r="T29" s="13"/>
      <c r="U29" s="80"/>
      <c r="V29" s="80"/>
      <c r="W29" s="23"/>
      <c r="X29" s="23"/>
      <c r="Y29" s="1"/>
      <c r="Z29" s="1"/>
      <c r="AA29" s="72"/>
      <c r="AB29" s="72"/>
      <c r="AC29" s="72"/>
      <c r="AD29" s="80"/>
      <c r="AE29" s="80"/>
      <c r="AF29" s="80"/>
      <c r="AG29" s="80"/>
      <c r="AH29" s="80"/>
      <c r="AI29" s="72"/>
      <c r="AJ29" s="80"/>
      <c r="AK29" s="72"/>
      <c r="AL29" s="72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13"/>
      <c r="AX29" s="13"/>
      <c r="AY29" s="29"/>
      <c r="AZ29" s="68">
        <f t="shared" si="0"/>
        <v>0</v>
      </c>
      <c r="BA29" s="78"/>
    </row>
    <row r="30" spans="1:53" ht="19.5" thickBot="1" x14ac:dyDescent="0.35">
      <c r="A30" s="79" t="s">
        <v>106</v>
      </c>
      <c r="B30" s="70" t="s">
        <v>107</v>
      </c>
      <c r="C30" s="1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0"/>
      <c r="P30" s="80"/>
      <c r="Q30" s="1"/>
      <c r="R30" s="13"/>
      <c r="S30" s="72"/>
      <c r="T30" s="13"/>
      <c r="U30" s="13"/>
      <c r="V30" s="13"/>
      <c r="W30" s="30"/>
      <c r="X30" s="30"/>
      <c r="Y30" s="1"/>
      <c r="Z30" s="1"/>
      <c r="AA30" s="13"/>
      <c r="AB30" s="13"/>
      <c r="AC30" s="13"/>
      <c r="AD30" s="1"/>
      <c r="AE30" s="1"/>
      <c r="AF30" s="80"/>
      <c r="AG30" s="1"/>
      <c r="AH30" s="1"/>
      <c r="AI30" s="72"/>
      <c r="AJ30" s="1"/>
      <c r="AK30" s="1"/>
      <c r="AL30" s="1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13"/>
      <c r="AX30" s="13"/>
      <c r="AY30" s="29"/>
      <c r="AZ30" s="68">
        <f t="shared" si="0"/>
        <v>0</v>
      </c>
      <c r="BA30" s="78"/>
    </row>
    <row r="31" spans="1:53" ht="19.5" thickBot="1" x14ac:dyDescent="0.35">
      <c r="A31" s="79" t="s">
        <v>108</v>
      </c>
      <c r="B31" s="70" t="s">
        <v>109</v>
      </c>
      <c r="C31" s="1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0"/>
      <c r="P31" s="80"/>
      <c r="Q31" s="1"/>
      <c r="R31" s="13"/>
      <c r="S31" s="13"/>
      <c r="T31" s="13"/>
      <c r="U31" s="13"/>
      <c r="V31" s="13"/>
      <c r="W31" s="30"/>
      <c r="X31" s="30"/>
      <c r="Y31" s="1"/>
      <c r="Z31" s="1"/>
      <c r="AA31" s="13"/>
      <c r="AB31" s="13"/>
      <c r="AC31" s="13"/>
      <c r="AD31" s="1"/>
      <c r="AE31" s="1"/>
      <c r="AF31" s="80"/>
      <c r="AG31" s="1"/>
      <c r="AH31" s="1"/>
      <c r="AI31" s="72"/>
      <c r="AJ31" s="1"/>
      <c r="AK31" s="1"/>
      <c r="AL31" s="15"/>
      <c r="AM31" s="72"/>
      <c r="AN31" s="80"/>
      <c r="AO31" s="80"/>
      <c r="AP31" s="80"/>
      <c r="AQ31" s="80"/>
      <c r="AR31" s="80"/>
      <c r="AS31" s="80"/>
      <c r="AT31" s="80"/>
      <c r="AU31" s="80"/>
      <c r="AV31" s="80"/>
      <c r="AW31" s="13"/>
      <c r="AX31" s="13"/>
      <c r="AY31" s="29"/>
      <c r="AZ31" s="68">
        <f t="shared" si="0"/>
        <v>0</v>
      </c>
      <c r="BA31" s="78"/>
    </row>
    <row r="32" spans="1:53" ht="19.5" thickBot="1" x14ac:dyDescent="0.35">
      <c r="A32" s="79" t="s">
        <v>110</v>
      </c>
      <c r="B32" s="70" t="s">
        <v>111</v>
      </c>
      <c r="C32" s="1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80"/>
      <c r="P32" s="80"/>
      <c r="Q32" s="1"/>
      <c r="R32" s="13"/>
      <c r="S32" s="13"/>
      <c r="T32" s="13"/>
      <c r="U32" s="13"/>
      <c r="V32" s="13"/>
      <c r="W32" s="30"/>
      <c r="X32" s="30"/>
      <c r="Y32" s="1"/>
      <c r="Z32" s="1"/>
      <c r="AA32" s="13"/>
      <c r="AB32" s="13"/>
      <c r="AC32" s="13"/>
      <c r="AD32" s="1"/>
      <c r="AE32" s="1"/>
      <c r="AF32" s="80"/>
      <c r="AG32" s="1"/>
      <c r="AH32" s="1"/>
      <c r="AI32" s="72"/>
      <c r="AJ32" s="1"/>
      <c r="AK32" s="1"/>
      <c r="AL32" s="15"/>
      <c r="AM32" s="72"/>
      <c r="AN32" s="80"/>
      <c r="AO32" s="80"/>
      <c r="AP32" s="80"/>
      <c r="AQ32" s="80"/>
      <c r="AR32" s="80"/>
      <c r="AS32" s="80"/>
      <c r="AT32" s="80"/>
      <c r="AU32" s="80"/>
      <c r="AV32" s="80"/>
      <c r="AW32" s="13"/>
      <c r="AX32" s="13"/>
      <c r="AY32" s="29"/>
      <c r="AZ32" s="68">
        <f t="shared" si="0"/>
        <v>0</v>
      </c>
      <c r="BA32" s="78"/>
    </row>
    <row r="33" spans="1:53" ht="19.5" thickBot="1" x14ac:dyDescent="0.35">
      <c r="A33" s="79" t="s">
        <v>112</v>
      </c>
      <c r="B33" s="70" t="s">
        <v>113</v>
      </c>
      <c r="C33" s="19"/>
      <c r="D33" s="13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80"/>
      <c r="P33" s="80"/>
      <c r="Q33" s="1"/>
      <c r="R33" s="13"/>
      <c r="S33" s="13"/>
      <c r="T33" s="13"/>
      <c r="U33" s="13"/>
      <c r="V33" s="13"/>
      <c r="W33" s="30"/>
      <c r="X33" s="30"/>
      <c r="Y33" s="1"/>
      <c r="Z33" s="1"/>
      <c r="AA33" s="13"/>
      <c r="AB33" s="13"/>
      <c r="AC33" s="13"/>
      <c r="AD33" s="1"/>
      <c r="AE33" s="1"/>
      <c r="AF33" s="80"/>
      <c r="AG33" s="1"/>
      <c r="AH33" s="1"/>
      <c r="AI33" s="72"/>
      <c r="AJ33" s="1"/>
      <c r="AK33" s="1"/>
      <c r="AL33" s="1"/>
      <c r="AM33" s="72"/>
      <c r="AN33" s="80"/>
      <c r="AO33" s="80"/>
      <c r="AP33" s="80"/>
      <c r="AQ33" s="80"/>
      <c r="AR33" s="80"/>
      <c r="AS33" s="80"/>
      <c r="AT33" s="80"/>
      <c r="AU33" s="80"/>
      <c r="AV33" s="80"/>
      <c r="AW33" s="13"/>
      <c r="AX33" s="13"/>
      <c r="AY33" s="29"/>
      <c r="AZ33" s="68">
        <f t="shared" si="0"/>
        <v>0</v>
      </c>
      <c r="BA33" s="78"/>
    </row>
    <row r="34" spans="1:53" ht="15.75" thickBot="1" x14ac:dyDescent="0.3">
      <c r="A34" s="79" t="s">
        <v>114</v>
      </c>
      <c r="B34" s="101" t="s">
        <v>115</v>
      </c>
      <c r="C34" s="31"/>
      <c r="D34" s="1"/>
      <c r="E34" s="1"/>
      <c r="F34" s="1"/>
      <c r="G34" s="1"/>
      <c r="H34" s="13"/>
      <c r="I34" s="13"/>
      <c r="J34" s="1"/>
      <c r="K34" s="1"/>
      <c r="L34" s="1"/>
      <c r="M34" s="1"/>
      <c r="N34" s="1"/>
      <c r="O34" s="13"/>
      <c r="P34" s="13"/>
      <c r="Q34" s="1"/>
      <c r="R34" s="23"/>
      <c r="S34" s="1"/>
      <c r="T34" s="1"/>
      <c r="U34" s="1" t="s">
        <v>93</v>
      </c>
      <c r="V34" s="1"/>
      <c r="W34" s="14"/>
      <c r="X34" s="14"/>
      <c r="Y34" s="1"/>
      <c r="Z34" s="1"/>
      <c r="AA34" s="1"/>
      <c r="AB34" s="1"/>
      <c r="AC34" s="1"/>
      <c r="AD34" s="1"/>
      <c r="AE34" s="1"/>
      <c r="AF34" s="13"/>
      <c r="AG34" s="1"/>
      <c r="AH34" s="1"/>
      <c r="AI34" s="72"/>
      <c r="AJ34" s="1"/>
      <c r="AK34" s="1"/>
      <c r="AL34" s="1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"/>
      <c r="AX34" s="1"/>
      <c r="AY34" s="20"/>
      <c r="AZ34" s="68">
        <f t="shared" si="0"/>
        <v>0</v>
      </c>
      <c r="BA34" s="78"/>
    </row>
    <row r="35" spans="1:53" ht="15.75" thickBot="1" x14ac:dyDescent="0.3">
      <c r="A35" s="79" t="s">
        <v>116</v>
      </c>
      <c r="B35" s="70" t="s">
        <v>117</v>
      </c>
      <c r="C35" s="19"/>
      <c r="D35" s="74"/>
      <c r="E35" s="80"/>
      <c r="F35" s="13"/>
      <c r="G35" s="13"/>
      <c r="H35" s="13"/>
      <c r="I35" s="13"/>
      <c r="J35" s="13"/>
      <c r="K35" s="13"/>
      <c r="L35" s="81"/>
      <c r="M35" s="1"/>
      <c r="N35" s="80"/>
      <c r="O35" s="80"/>
      <c r="P35" s="80"/>
      <c r="Q35" s="1"/>
      <c r="R35" s="72"/>
      <c r="S35" s="80"/>
      <c r="T35" s="13"/>
      <c r="U35" s="80"/>
      <c r="V35" s="80"/>
      <c r="W35" s="23"/>
      <c r="X35" s="23"/>
      <c r="Y35" s="1"/>
      <c r="Z35" s="1"/>
      <c r="AA35" s="72"/>
      <c r="AB35" s="72"/>
      <c r="AC35" s="72"/>
      <c r="AD35" s="80"/>
      <c r="AE35" s="80"/>
      <c r="AF35" s="80"/>
      <c r="AG35" s="80"/>
      <c r="AH35" s="80"/>
      <c r="AI35" s="72"/>
      <c r="AJ35" s="80"/>
      <c r="AK35" s="72"/>
      <c r="AL35" s="72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74"/>
      <c r="AX35" s="74"/>
      <c r="AY35" s="100"/>
      <c r="AZ35" s="68">
        <f t="shared" si="0"/>
        <v>0</v>
      </c>
      <c r="BA35" s="78"/>
    </row>
    <row r="36" spans="1:53" ht="16.5" thickBot="1" x14ac:dyDescent="0.3">
      <c r="A36" s="102" t="s">
        <v>118</v>
      </c>
      <c r="B36" s="70" t="s">
        <v>178</v>
      </c>
      <c r="C36" s="99"/>
      <c r="D36" s="13"/>
      <c r="E36" s="13"/>
      <c r="F36" s="13"/>
      <c r="G36" s="1"/>
      <c r="H36" s="13"/>
      <c r="I36" s="13"/>
      <c r="J36" s="1"/>
      <c r="K36" s="13"/>
      <c r="L36" s="1"/>
      <c r="M36" s="1"/>
      <c r="N36" s="1"/>
      <c r="O36" s="1"/>
      <c r="P36" s="13"/>
      <c r="Q36" s="1"/>
      <c r="R36" s="81"/>
      <c r="S36" s="1"/>
      <c r="T36" s="13"/>
      <c r="U36" s="13"/>
      <c r="V36" s="13"/>
      <c r="W36" s="15"/>
      <c r="X36" s="15"/>
      <c r="Y36" s="1"/>
      <c r="Z36" s="1"/>
      <c r="AA36" s="13"/>
      <c r="AB36" s="13"/>
      <c r="AC36" s="13"/>
      <c r="AD36" s="13"/>
      <c r="AE36" s="13"/>
      <c r="AF36" s="1"/>
      <c r="AG36" s="13"/>
      <c r="AH36" s="13"/>
      <c r="AI36" s="72"/>
      <c r="AJ36" s="13"/>
      <c r="AK36" s="13"/>
      <c r="AL36" s="13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3"/>
      <c r="AX36" s="13"/>
      <c r="AY36" s="29"/>
      <c r="AZ36" s="68">
        <f t="shared" si="0"/>
        <v>0</v>
      </c>
      <c r="BA36" s="78"/>
    </row>
    <row r="37" spans="1:53" ht="16.5" thickBot="1" x14ac:dyDescent="0.3">
      <c r="A37" s="103" t="s">
        <v>119</v>
      </c>
      <c r="B37" s="70" t="s">
        <v>179</v>
      </c>
      <c r="C37" s="173"/>
      <c r="D37" s="174"/>
      <c r="E37" s="174"/>
      <c r="F37" s="174"/>
      <c r="G37" s="175"/>
      <c r="H37" s="174"/>
      <c r="I37" s="174"/>
      <c r="J37" s="175"/>
      <c r="K37" s="174"/>
      <c r="L37" s="175"/>
      <c r="M37" s="175"/>
      <c r="N37" s="175"/>
      <c r="O37" s="175"/>
      <c r="P37" s="175"/>
      <c r="Q37" s="175"/>
      <c r="R37" s="174"/>
      <c r="S37" s="1"/>
      <c r="T37" s="13"/>
      <c r="U37" s="13"/>
      <c r="V37" s="13"/>
      <c r="W37" s="15"/>
      <c r="X37" s="15"/>
      <c r="Y37" s="1"/>
      <c r="Z37" s="1"/>
      <c r="AA37" s="13"/>
      <c r="AB37" s="13"/>
      <c r="AC37" s="13"/>
      <c r="AD37" s="13"/>
      <c r="AE37" s="13"/>
      <c r="AF37" s="1"/>
      <c r="AG37" s="13"/>
      <c r="AH37" s="13"/>
      <c r="AI37" s="72"/>
      <c r="AJ37" s="13"/>
      <c r="AK37" s="13"/>
      <c r="AL37" s="13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3"/>
      <c r="AX37" s="13"/>
      <c r="AY37" s="29"/>
      <c r="AZ37" s="68">
        <f t="shared" si="0"/>
        <v>0</v>
      </c>
      <c r="BA37" s="78"/>
    </row>
    <row r="38" spans="1:53" ht="16.5" thickBot="1" x14ac:dyDescent="0.3">
      <c r="A38" s="105" t="s">
        <v>120</v>
      </c>
      <c r="B38" s="70" t="s">
        <v>121</v>
      </c>
      <c r="C38" s="32"/>
      <c r="D38" s="13"/>
      <c r="E38" s="13"/>
      <c r="F38" s="13"/>
      <c r="G38" s="1"/>
      <c r="H38" s="13"/>
      <c r="I38" s="13"/>
      <c r="J38" s="1"/>
      <c r="K38" s="13"/>
      <c r="L38" s="1" t="s">
        <v>122</v>
      </c>
      <c r="M38" s="1"/>
      <c r="N38" s="1"/>
      <c r="O38" s="1"/>
      <c r="P38" s="1"/>
      <c r="Q38" s="1"/>
      <c r="R38" s="81"/>
      <c r="S38" s="1"/>
      <c r="T38" s="13"/>
      <c r="U38" s="13"/>
      <c r="V38" s="13"/>
      <c r="W38" s="96"/>
      <c r="X38" s="15"/>
      <c r="Y38" s="1"/>
      <c r="Z38" s="1"/>
      <c r="AA38" s="13"/>
      <c r="AB38" s="13"/>
      <c r="AC38" s="13"/>
      <c r="AD38" s="13"/>
      <c r="AE38" s="13"/>
      <c r="AF38" s="1"/>
      <c r="AG38" s="13"/>
      <c r="AH38" s="13"/>
      <c r="AI38" s="72"/>
      <c r="AJ38" s="13"/>
      <c r="AK38" s="13"/>
      <c r="AL38" s="13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3"/>
      <c r="AX38" s="13"/>
      <c r="AY38" s="29"/>
      <c r="AZ38" s="68">
        <f t="shared" si="0"/>
        <v>0</v>
      </c>
      <c r="BA38" s="78"/>
    </row>
    <row r="39" spans="1:53" ht="16.5" thickBot="1" x14ac:dyDescent="0.3">
      <c r="A39" s="103" t="s">
        <v>123</v>
      </c>
      <c r="B39" s="70" t="s">
        <v>124</v>
      </c>
      <c r="C39" s="21"/>
      <c r="D39" s="1"/>
      <c r="E39" s="1"/>
      <c r="F39" s="1"/>
      <c r="G39" s="1"/>
      <c r="H39" s="13"/>
      <c r="I39" s="80"/>
      <c r="J39" s="1"/>
      <c r="K39" s="1"/>
      <c r="L39" s="1"/>
      <c r="M39" s="1"/>
      <c r="N39" s="1"/>
      <c r="O39" s="1"/>
      <c r="P39" s="1"/>
      <c r="Q39" s="1"/>
      <c r="R39" s="13"/>
      <c r="S39" s="1"/>
      <c r="T39" s="15"/>
      <c r="U39" s="1"/>
      <c r="V39" s="1"/>
      <c r="W39" s="72"/>
      <c r="X39" s="15"/>
      <c r="Y39" s="13"/>
      <c r="Z39" s="1"/>
      <c r="AA39" s="13"/>
      <c r="AB39" s="13"/>
      <c r="AC39" s="13"/>
      <c r="AD39" s="1"/>
      <c r="AE39" s="1"/>
      <c r="AF39" s="1"/>
      <c r="AG39" s="1"/>
      <c r="AH39" s="1"/>
      <c r="AI39" s="72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20"/>
      <c r="AZ39" s="68">
        <f t="shared" si="0"/>
        <v>0</v>
      </c>
      <c r="BA39" s="78"/>
    </row>
    <row r="40" spans="1:53" ht="15.75" thickBot="1" x14ac:dyDescent="0.3">
      <c r="A40" s="83" t="s">
        <v>125</v>
      </c>
      <c r="B40" s="70" t="s">
        <v>126</v>
      </c>
      <c r="C40" s="2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4"/>
      <c r="X40" s="13"/>
      <c r="Y40" s="13"/>
      <c r="Z40" s="1"/>
      <c r="AA40" s="1"/>
      <c r="AB40" s="1"/>
      <c r="AC40" s="1"/>
      <c r="AD40" s="1"/>
      <c r="AE40" s="1"/>
      <c r="AF40" s="1"/>
      <c r="AG40" s="1"/>
      <c r="AH40" s="1"/>
      <c r="AI40" s="72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20"/>
      <c r="AZ40" s="68">
        <f t="shared" si="0"/>
        <v>0</v>
      </c>
      <c r="BA40" s="78"/>
    </row>
    <row r="41" spans="1:53" ht="15.75" thickBot="1" x14ac:dyDescent="0.3">
      <c r="A41" s="106" t="s">
        <v>127</v>
      </c>
      <c r="B41" s="70" t="s">
        <v>128</v>
      </c>
      <c r="C41" s="2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4"/>
      <c r="X41" s="2">
        <v>1</v>
      </c>
      <c r="Y41" s="13"/>
      <c r="Z41" s="2">
        <v>1</v>
      </c>
      <c r="AA41" s="1"/>
      <c r="AB41" s="1"/>
      <c r="AC41" s="1"/>
      <c r="AD41" s="1"/>
      <c r="AE41" s="1"/>
      <c r="AF41" s="1"/>
      <c r="AG41" s="1"/>
      <c r="AH41" s="1"/>
      <c r="AI41" s="7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20"/>
      <c r="AZ41" s="68">
        <f t="shared" si="0"/>
        <v>2</v>
      </c>
      <c r="BA41" s="78"/>
    </row>
    <row r="42" spans="1:53" ht="16.5" thickBot="1" x14ac:dyDescent="0.3">
      <c r="A42" s="107" t="s">
        <v>129</v>
      </c>
      <c r="B42" s="108" t="s">
        <v>130</v>
      </c>
      <c r="C42" s="104">
        <v>9</v>
      </c>
      <c r="D42" s="85">
        <v>12</v>
      </c>
      <c r="E42" s="13"/>
      <c r="F42" s="109"/>
      <c r="G42" s="109"/>
      <c r="H42" s="85">
        <v>3</v>
      </c>
      <c r="I42" s="110">
        <v>3</v>
      </c>
      <c r="J42" s="15"/>
      <c r="K42" s="85">
        <v>2</v>
      </c>
      <c r="L42" s="85">
        <v>1</v>
      </c>
      <c r="M42" s="81"/>
      <c r="N42" s="13"/>
      <c r="O42" s="111">
        <v>1</v>
      </c>
      <c r="P42" s="109"/>
      <c r="Q42" s="85">
        <v>2</v>
      </c>
      <c r="R42" s="85">
        <v>2</v>
      </c>
      <c r="S42" s="85">
        <v>1</v>
      </c>
      <c r="T42" s="13"/>
      <c r="U42" s="13"/>
      <c r="V42" s="13"/>
      <c r="W42" s="13"/>
      <c r="X42" s="13"/>
      <c r="Y42" s="96"/>
      <c r="Z42" s="96"/>
      <c r="AA42" s="85">
        <v>2</v>
      </c>
      <c r="AB42" s="112"/>
      <c r="AC42" s="96"/>
      <c r="AD42" s="113">
        <v>3</v>
      </c>
      <c r="AE42" s="1"/>
      <c r="AF42" s="33"/>
      <c r="AG42" s="13"/>
      <c r="AH42" s="111">
        <v>4</v>
      </c>
      <c r="AI42" s="85">
        <v>1</v>
      </c>
      <c r="AJ42" s="85">
        <v>1</v>
      </c>
      <c r="AK42" s="80"/>
      <c r="AL42" s="80"/>
      <c r="AM42" s="80"/>
      <c r="AN42" s="96"/>
      <c r="AO42" s="96"/>
      <c r="AP42" s="13"/>
      <c r="AQ42" s="13"/>
      <c r="AR42" s="13"/>
      <c r="AS42" s="13"/>
      <c r="AT42" s="72"/>
      <c r="AU42" s="85">
        <v>1</v>
      </c>
      <c r="AV42" s="33"/>
      <c r="AW42" s="85">
        <v>3</v>
      </c>
      <c r="AX42" s="85">
        <v>3</v>
      </c>
      <c r="AY42" s="29"/>
      <c r="AZ42" s="68">
        <f t="shared" si="0"/>
        <v>54</v>
      </c>
      <c r="BA42" s="114"/>
    </row>
    <row r="43" spans="1:53" ht="16.5" thickBot="1" x14ac:dyDescent="0.3">
      <c r="A43" s="83" t="s">
        <v>131</v>
      </c>
      <c r="B43" s="70" t="s">
        <v>132</v>
      </c>
      <c r="C43" s="19"/>
      <c r="D43" s="96"/>
      <c r="E43" s="1"/>
      <c r="F43" s="1"/>
      <c r="G43" s="74"/>
      <c r="H43" s="13"/>
      <c r="I43" s="33"/>
      <c r="J43" s="13"/>
      <c r="K43" s="33"/>
      <c r="L43" s="3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5"/>
      <c r="X43" s="15"/>
      <c r="Y43" s="13"/>
      <c r="Z43" s="13"/>
      <c r="AA43" s="13"/>
      <c r="AB43" s="96"/>
      <c r="AC43" s="96"/>
      <c r="AD43" s="13"/>
      <c r="AE43" s="13"/>
      <c r="AF43" s="13"/>
      <c r="AG43" s="13"/>
      <c r="AH43" s="13"/>
      <c r="AI43" s="72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72"/>
      <c r="AU43" s="13"/>
      <c r="AV43" s="13"/>
      <c r="AW43" s="1"/>
      <c r="AX43" s="1"/>
      <c r="AY43" s="20"/>
      <c r="AZ43" s="68">
        <f t="shared" si="0"/>
        <v>0</v>
      </c>
      <c r="BA43" s="78"/>
    </row>
    <row r="44" spans="1:53" ht="16.5" thickBot="1" x14ac:dyDescent="0.3">
      <c r="A44" s="79" t="s">
        <v>38</v>
      </c>
      <c r="B44" s="70" t="s">
        <v>133</v>
      </c>
      <c r="C44" s="115">
        <v>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3"/>
      <c r="O44" s="1"/>
      <c r="P44" s="1"/>
      <c r="Q44" s="1"/>
      <c r="R44" s="1"/>
      <c r="S44" s="1"/>
      <c r="T44" s="1"/>
      <c r="U44" s="1"/>
      <c r="V44" s="1"/>
      <c r="W44" s="14"/>
      <c r="X44" s="14"/>
      <c r="Y44" s="1"/>
      <c r="Z44" s="1"/>
      <c r="AA44" s="1"/>
      <c r="AB44" s="1"/>
      <c r="AC44" s="1"/>
      <c r="AD44" s="15"/>
      <c r="AE44" s="15"/>
      <c r="AF44" s="1"/>
      <c r="AG44" s="1"/>
      <c r="AH44" s="1"/>
      <c r="AI44" s="7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20"/>
      <c r="AZ44" s="68">
        <f t="shared" si="0"/>
        <v>1</v>
      </c>
      <c r="BA44" s="78"/>
    </row>
    <row r="45" spans="1:53" ht="15.75" thickBot="1" x14ac:dyDescent="0.3">
      <c r="A45" s="79" t="s">
        <v>134</v>
      </c>
      <c r="B45" s="70" t="s">
        <v>135</v>
      </c>
      <c r="C45" s="31"/>
      <c r="D45" s="1"/>
      <c r="E45" s="1"/>
      <c r="F45" s="13"/>
      <c r="G45" s="1"/>
      <c r="H45" s="13"/>
      <c r="I45" s="1"/>
      <c r="J45" s="1"/>
      <c r="K45" s="13"/>
      <c r="L45" s="72"/>
      <c r="M45" s="111">
        <v>10</v>
      </c>
      <c r="N45" s="81"/>
      <c r="O45" s="1"/>
      <c r="P45" s="1"/>
      <c r="Q45" s="1"/>
      <c r="R45" s="1"/>
      <c r="S45" s="1"/>
      <c r="T45" s="1"/>
      <c r="U45" s="1"/>
      <c r="V45" s="1"/>
      <c r="W45" s="13"/>
      <c r="X45" s="13"/>
      <c r="Y45" s="1"/>
      <c r="Z45" s="1"/>
      <c r="AA45" s="13"/>
      <c r="AB45" s="13"/>
      <c r="AC45" s="13"/>
      <c r="AD45" s="111">
        <v>1</v>
      </c>
      <c r="AE45" s="111"/>
      <c r="AF45" s="13"/>
      <c r="AG45" s="13"/>
      <c r="AH45" s="13"/>
      <c r="AI45" s="72"/>
      <c r="AJ45" s="13"/>
      <c r="AK45" s="13"/>
      <c r="AL45" s="13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20"/>
      <c r="AZ45" s="68">
        <f t="shared" si="0"/>
        <v>11</v>
      </c>
      <c r="BA45" s="78"/>
    </row>
    <row r="46" spans="1:53" ht="15.75" thickBot="1" x14ac:dyDescent="0.3">
      <c r="A46" s="79" t="s">
        <v>136</v>
      </c>
      <c r="B46" s="70" t="s">
        <v>135</v>
      </c>
      <c r="C46" s="21"/>
      <c r="D46" s="1"/>
      <c r="E46" s="1"/>
      <c r="F46" s="1"/>
      <c r="G46" s="1"/>
      <c r="H46" s="111">
        <v>2</v>
      </c>
      <c r="I46" s="1"/>
      <c r="J46" s="13"/>
      <c r="K46" s="13"/>
      <c r="L46" s="1"/>
      <c r="M46" s="1"/>
      <c r="N46" s="1"/>
      <c r="O46" s="1"/>
      <c r="P46" s="1"/>
      <c r="Q46" s="116"/>
      <c r="R46" s="1"/>
      <c r="S46" s="13"/>
      <c r="T46" s="13"/>
      <c r="U46" s="1"/>
      <c r="V46" s="1"/>
      <c r="W46" s="14"/>
      <c r="X46" s="14"/>
      <c r="Y46" s="1"/>
      <c r="Z46" s="1"/>
      <c r="AA46" s="13"/>
      <c r="AB46" s="13"/>
      <c r="AC46" s="85">
        <v>1</v>
      </c>
      <c r="AD46" s="1"/>
      <c r="AE46" s="1"/>
      <c r="AF46" s="1"/>
      <c r="AG46" s="1"/>
      <c r="AH46" s="24"/>
      <c r="AI46" s="72"/>
      <c r="AJ46" s="25"/>
      <c r="AK46" s="24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20"/>
      <c r="AZ46" s="68">
        <f t="shared" si="0"/>
        <v>3</v>
      </c>
      <c r="BA46" s="78"/>
    </row>
    <row r="47" spans="1:53" ht="15.75" thickBot="1" x14ac:dyDescent="0.3">
      <c r="A47" s="79" t="s">
        <v>137</v>
      </c>
      <c r="B47" s="70" t="s">
        <v>138</v>
      </c>
      <c r="C47" s="21"/>
      <c r="D47" s="1"/>
      <c r="E47" s="1"/>
      <c r="F47" s="1"/>
      <c r="G47" s="1"/>
      <c r="H47" s="74"/>
      <c r="I47" s="1"/>
      <c r="J47" s="13"/>
      <c r="K47" s="13"/>
      <c r="L47" s="1"/>
      <c r="M47" s="1"/>
      <c r="N47" s="1"/>
      <c r="O47" s="1"/>
      <c r="P47" s="1"/>
      <c r="Q47" s="116"/>
      <c r="R47" s="1"/>
      <c r="S47" s="13"/>
      <c r="T47" s="13"/>
      <c r="U47" s="1"/>
      <c r="V47" s="1"/>
      <c r="W47" s="14"/>
      <c r="X47" s="14"/>
      <c r="Y47" s="1"/>
      <c r="Z47" s="1"/>
      <c r="AA47" s="13"/>
      <c r="AB47" s="13"/>
      <c r="AC47" s="111">
        <v>3</v>
      </c>
      <c r="AD47" s="1"/>
      <c r="AE47" s="1"/>
      <c r="AF47" s="1"/>
      <c r="AG47" s="1"/>
      <c r="AH47" s="24"/>
      <c r="AI47" s="72"/>
      <c r="AJ47" s="25"/>
      <c r="AK47" s="24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20"/>
      <c r="AZ47" s="68">
        <f t="shared" si="0"/>
        <v>3</v>
      </c>
      <c r="BA47" s="78"/>
    </row>
    <row r="48" spans="1:53" ht="15.75" thickBot="1" x14ac:dyDescent="0.3">
      <c r="A48" s="79" t="s">
        <v>139</v>
      </c>
      <c r="B48" s="70" t="s">
        <v>140</v>
      </c>
      <c r="C48" s="21"/>
      <c r="D48" s="1"/>
      <c r="E48" s="1"/>
      <c r="F48" s="1"/>
      <c r="G48" s="1"/>
      <c r="H48" s="1"/>
      <c r="I48" s="1"/>
      <c r="J48" s="13"/>
      <c r="K48" s="13"/>
      <c r="L48" s="1"/>
      <c r="M48" s="1"/>
      <c r="N48" s="1"/>
      <c r="O48" s="1"/>
      <c r="P48" s="1"/>
      <c r="Q48" s="1"/>
      <c r="R48" s="1"/>
      <c r="S48" s="13"/>
      <c r="T48" s="13"/>
      <c r="U48" s="1"/>
      <c r="V48" s="13"/>
      <c r="W48" s="13"/>
      <c r="X48" s="14"/>
      <c r="Y48" s="13"/>
      <c r="Z48" s="1"/>
      <c r="AA48" s="1"/>
      <c r="AB48" s="1"/>
      <c r="AC48" s="1"/>
      <c r="AD48" s="1"/>
      <c r="AE48" s="1"/>
      <c r="AF48" s="1"/>
      <c r="AG48" s="1"/>
      <c r="AH48" s="24"/>
      <c r="AI48" s="72"/>
      <c r="AJ48" s="25"/>
      <c r="AK48" s="24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20"/>
      <c r="AZ48" s="68">
        <f t="shared" si="0"/>
        <v>0</v>
      </c>
      <c r="BA48" s="78"/>
    </row>
    <row r="49" spans="1:53" ht="15.75" thickBot="1" x14ac:dyDescent="0.3">
      <c r="A49" s="79" t="s">
        <v>141</v>
      </c>
      <c r="B49" s="70" t="s">
        <v>142</v>
      </c>
      <c r="C49" s="21"/>
      <c r="D49" s="1"/>
      <c r="E49" s="1"/>
      <c r="F49" s="1"/>
      <c r="G49" s="1"/>
      <c r="H49" s="1"/>
      <c r="I49" s="1"/>
      <c r="J49" s="13"/>
      <c r="K49" s="1"/>
      <c r="L49" s="1"/>
      <c r="M49" s="1"/>
      <c r="N49" s="1"/>
      <c r="O49" s="1"/>
      <c r="P49" s="1"/>
      <c r="Q49" s="1"/>
      <c r="R49" s="13"/>
      <c r="S49" s="13"/>
      <c r="T49" s="13"/>
      <c r="U49" s="13"/>
      <c r="V49" s="13"/>
      <c r="W49" s="14"/>
      <c r="X49" s="14"/>
      <c r="Y49" s="1"/>
      <c r="Z49" s="1"/>
      <c r="AA49" s="1"/>
      <c r="AB49" s="1"/>
      <c r="AC49" s="1"/>
      <c r="AD49" s="13"/>
      <c r="AE49" s="13"/>
      <c r="AF49" s="1"/>
      <c r="AG49" s="13"/>
      <c r="AH49" s="26"/>
      <c r="AI49" s="72"/>
      <c r="AJ49" s="27"/>
      <c r="AK49" s="26"/>
      <c r="AL49" s="13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20"/>
      <c r="AZ49" s="68">
        <f t="shared" si="0"/>
        <v>0</v>
      </c>
      <c r="BA49" s="78"/>
    </row>
    <row r="50" spans="1:53" ht="16.5" thickBot="1" x14ac:dyDescent="0.3">
      <c r="A50" s="83" t="s">
        <v>143</v>
      </c>
      <c r="B50" s="117" t="s">
        <v>144</v>
      </c>
      <c r="C50" s="21"/>
      <c r="D50" s="14"/>
      <c r="E50" s="14"/>
      <c r="F50" s="14"/>
      <c r="G50" s="14"/>
      <c r="H50" s="15"/>
      <c r="I50" s="14"/>
      <c r="J50" s="23"/>
      <c r="K50" s="14"/>
      <c r="L50" s="14"/>
      <c r="M50" s="14"/>
      <c r="N50" s="14"/>
      <c r="O50" s="14"/>
      <c r="P50" s="14"/>
      <c r="Q50" s="14"/>
      <c r="R50" s="14"/>
      <c r="S50" s="23"/>
      <c r="T50" s="23"/>
      <c r="U50" s="14"/>
      <c r="V50" s="14"/>
      <c r="W50" s="14"/>
      <c r="X50" s="14"/>
      <c r="Y50" s="14"/>
      <c r="Z50" s="14"/>
      <c r="AA50" s="15"/>
      <c r="AB50" s="15"/>
      <c r="AC50" s="15"/>
      <c r="AD50" s="14"/>
      <c r="AE50" s="14"/>
      <c r="AF50" s="14"/>
      <c r="AG50" s="14"/>
      <c r="AH50" s="16"/>
      <c r="AI50" s="72"/>
      <c r="AJ50" s="17"/>
      <c r="AK50" s="16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8"/>
      <c r="AZ50" s="68">
        <f t="shared" si="0"/>
        <v>0</v>
      </c>
      <c r="BA50" s="78"/>
    </row>
    <row r="51" spans="1:53" ht="15.75" thickBot="1" x14ac:dyDescent="0.3">
      <c r="A51" s="83" t="s">
        <v>145</v>
      </c>
      <c r="B51" s="118" t="s">
        <v>146</v>
      </c>
      <c r="C51" s="21"/>
      <c r="D51" s="14"/>
      <c r="E51" s="14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6"/>
      <c r="AI51" s="72"/>
      <c r="AJ51" s="17"/>
      <c r="AK51" s="16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8"/>
      <c r="AZ51" s="68">
        <f t="shared" si="0"/>
        <v>0</v>
      </c>
      <c r="BA51" s="78"/>
    </row>
    <row r="52" spans="1:53" ht="16.5" thickBot="1" x14ac:dyDescent="0.3">
      <c r="A52" s="79" t="s">
        <v>147</v>
      </c>
      <c r="B52" s="70" t="s">
        <v>148</v>
      </c>
      <c r="C52" s="19"/>
      <c r="D52" s="14"/>
      <c r="E52" s="23"/>
      <c r="F52" s="81"/>
      <c r="G52" s="73"/>
      <c r="H52" s="113">
        <v>6</v>
      </c>
      <c r="I52" s="14"/>
      <c r="J52" s="14"/>
      <c r="K52" s="15"/>
      <c r="L52" s="14"/>
      <c r="M52" s="13"/>
      <c r="N52" s="111">
        <v>5</v>
      </c>
      <c r="O52" s="15"/>
      <c r="P52" s="15"/>
      <c r="Q52" s="15"/>
      <c r="R52" s="13"/>
      <c r="S52" s="14"/>
      <c r="T52" s="14"/>
      <c r="U52" s="23"/>
      <c r="V52" s="23"/>
      <c r="W52" s="14"/>
      <c r="X52" s="14"/>
      <c r="Y52" s="14"/>
      <c r="Z52" s="15"/>
      <c r="AA52" s="80"/>
      <c r="AB52" s="80"/>
      <c r="AC52" s="80"/>
      <c r="AD52" s="13"/>
      <c r="AE52" s="13"/>
      <c r="AF52" s="13"/>
      <c r="AG52" s="23"/>
      <c r="AH52" s="34"/>
      <c r="AI52" s="72"/>
      <c r="AJ52" s="35"/>
      <c r="AK52" s="34"/>
      <c r="AL52" s="23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23"/>
      <c r="AX52" s="23"/>
      <c r="AY52" s="36"/>
      <c r="AZ52" s="68">
        <f t="shared" si="0"/>
        <v>11</v>
      </c>
      <c r="BA52" s="78"/>
    </row>
    <row r="53" spans="1:53" ht="15.75" thickBot="1" x14ac:dyDescent="0.3">
      <c r="A53" s="83" t="s">
        <v>149</v>
      </c>
      <c r="B53" s="70" t="s">
        <v>150</v>
      </c>
      <c r="C53" s="104">
        <v>3</v>
      </c>
      <c r="D53" s="13"/>
      <c r="E53" s="13"/>
      <c r="F53" s="13"/>
      <c r="G53" s="23"/>
      <c r="H53" s="119"/>
      <c r="I53" s="120"/>
      <c r="J53" s="16"/>
      <c r="K53" s="85">
        <v>1</v>
      </c>
      <c r="L53" s="14"/>
      <c r="M53" s="14"/>
      <c r="N53" s="1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6"/>
      <c r="AI53" s="72"/>
      <c r="AJ53" s="17"/>
      <c r="AK53" s="16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3"/>
      <c r="AX53" s="13"/>
      <c r="AY53" s="29"/>
      <c r="AZ53" s="68">
        <f t="shared" si="0"/>
        <v>4</v>
      </c>
      <c r="BA53" s="78"/>
    </row>
    <row r="54" spans="1:53" ht="16.5" thickBot="1" x14ac:dyDescent="0.3">
      <c r="A54" s="79" t="s">
        <v>151</v>
      </c>
      <c r="B54" s="70" t="s">
        <v>152</v>
      </c>
      <c r="C54" s="115">
        <v>1</v>
      </c>
      <c r="D54" s="13"/>
      <c r="E54" s="13"/>
      <c r="F54" s="14"/>
      <c r="G54" s="13"/>
      <c r="H54" s="13"/>
      <c r="I54" s="13"/>
      <c r="J54" s="14"/>
      <c r="K54" s="14"/>
      <c r="L54" s="33"/>
      <c r="M54" s="14"/>
      <c r="N54" s="14"/>
      <c r="O54" s="14"/>
      <c r="P54" s="14"/>
      <c r="Q54" s="14"/>
      <c r="R54" s="14"/>
      <c r="S54" s="14"/>
      <c r="T54" s="14"/>
      <c r="U54" s="72"/>
      <c r="V54" s="1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6"/>
      <c r="AI54" s="72"/>
      <c r="AJ54" s="17"/>
      <c r="AK54" s="16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8"/>
      <c r="AZ54" s="68">
        <f t="shared" si="0"/>
        <v>1</v>
      </c>
      <c r="BA54" s="82"/>
    </row>
    <row r="55" spans="1:53" ht="16.5" thickBot="1" x14ac:dyDescent="0.3">
      <c r="A55" s="83" t="s">
        <v>153</v>
      </c>
      <c r="B55" s="70" t="s">
        <v>154</v>
      </c>
      <c r="C55" s="104">
        <v>5</v>
      </c>
      <c r="D55" s="85">
        <v>2</v>
      </c>
      <c r="E55" s="15"/>
      <c r="F55" s="15"/>
      <c r="G55" s="15"/>
      <c r="H55" s="33"/>
      <c r="I55" s="13"/>
      <c r="J55" s="14"/>
      <c r="K55" s="14"/>
      <c r="L55" s="72"/>
      <c r="M55" s="72"/>
      <c r="N55" s="13"/>
      <c r="O55" s="14"/>
      <c r="P55" s="13"/>
      <c r="Q55" s="14"/>
      <c r="R55" s="15"/>
      <c r="S55" s="14"/>
      <c r="T55" s="14"/>
      <c r="U55" s="15"/>
      <c r="V55" s="14"/>
      <c r="W55" s="14"/>
      <c r="X55" s="14"/>
      <c r="Y55" s="14"/>
      <c r="Z55" s="14"/>
      <c r="AA55" s="14"/>
      <c r="AB55" s="14"/>
      <c r="AC55" s="14"/>
      <c r="AD55" s="93"/>
      <c r="AE55" s="93"/>
      <c r="AF55" s="14"/>
      <c r="AG55" s="14"/>
      <c r="AH55" s="16"/>
      <c r="AI55" s="72"/>
      <c r="AJ55" s="17"/>
      <c r="AK55" s="16"/>
      <c r="AL55" s="14"/>
      <c r="AM55" s="13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8"/>
      <c r="AZ55" s="68">
        <f t="shared" si="0"/>
        <v>7</v>
      </c>
      <c r="BA55" s="82"/>
    </row>
    <row r="56" spans="1:53" ht="16.5" thickBot="1" x14ac:dyDescent="0.3">
      <c r="A56" s="83" t="s">
        <v>155</v>
      </c>
      <c r="B56" s="70" t="s">
        <v>156</v>
      </c>
      <c r="C56" s="37"/>
      <c r="D56" s="15"/>
      <c r="E56" s="15"/>
      <c r="F56" s="15"/>
      <c r="G56" s="15"/>
      <c r="H56" s="33"/>
      <c r="I56" s="38"/>
      <c r="J56" s="39"/>
      <c r="K56" s="39"/>
      <c r="L56" s="121"/>
      <c r="M56" s="122"/>
      <c r="N56" s="40"/>
      <c r="O56" s="39"/>
      <c r="P56" s="38"/>
      <c r="Q56" s="39"/>
      <c r="R56" s="41"/>
      <c r="S56" s="39"/>
      <c r="T56" s="39"/>
      <c r="U56" s="41"/>
      <c r="V56" s="39"/>
      <c r="W56" s="39"/>
      <c r="X56" s="39"/>
      <c r="Y56" s="39"/>
      <c r="Z56" s="39"/>
      <c r="AA56" s="39"/>
      <c r="AB56" s="39"/>
      <c r="AC56" s="39"/>
      <c r="AD56" s="123"/>
      <c r="AE56" s="123"/>
      <c r="AF56" s="39"/>
      <c r="AG56" s="39"/>
      <c r="AH56" s="42"/>
      <c r="AI56" s="122"/>
      <c r="AJ56" s="43"/>
      <c r="AK56" s="42"/>
      <c r="AL56" s="39"/>
      <c r="AM56" s="38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44"/>
      <c r="AZ56" s="68">
        <f t="shared" si="0"/>
        <v>0</v>
      </c>
      <c r="BA56" s="82"/>
    </row>
    <row r="57" spans="1:53" ht="16.5" thickBot="1" x14ac:dyDescent="0.3">
      <c r="A57" s="83" t="s">
        <v>157</v>
      </c>
      <c r="B57" s="124" t="s">
        <v>158</v>
      </c>
      <c r="C57" s="37"/>
      <c r="D57" s="15"/>
      <c r="E57" s="15"/>
      <c r="F57" s="15"/>
      <c r="G57" s="15"/>
      <c r="H57" s="33"/>
      <c r="I57" s="38"/>
      <c r="J57" s="39"/>
      <c r="K57" s="39"/>
      <c r="L57" s="121"/>
      <c r="M57" s="122"/>
      <c r="N57" s="40"/>
      <c r="O57" s="39"/>
      <c r="P57" s="38"/>
      <c r="Q57" s="39"/>
      <c r="R57" s="41"/>
      <c r="S57" s="125">
        <v>1</v>
      </c>
      <c r="T57" s="39"/>
      <c r="U57" s="41"/>
      <c r="V57" s="39"/>
      <c r="W57" s="39"/>
      <c r="X57" s="39"/>
      <c r="Y57" s="39"/>
      <c r="Z57" s="39"/>
      <c r="AA57" s="39"/>
      <c r="AB57" s="39"/>
      <c r="AC57" s="39"/>
      <c r="AD57" s="123"/>
      <c r="AE57" s="123"/>
      <c r="AF57" s="39"/>
      <c r="AG57" s="39"/>
      <c r="AH57" s="42"/>
      <c r="AI57" s="122"/>
      <c r="AJ57" s="43"/>
      <c r="AK57" s="42"/>
      <c r="AL57" s="39"/>
      <c r="AM57" s="38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44"/>
      <c r="AZ57" s="68"/>
      <c r="BA57" s="82"/>
    </row>
    <row r="58" spans="1:53" ht="16.5" thickBot="1" x14ac:dyDescent="0.3">
      <c r="A58" s="83" t="s">
        <v>159</v>
      </c>
      <c r="B58" s="126" t="s">
        <v>160</v>
      </c>
      <c r="C58" s="127">
        <v>12</v>
      </c>
      <c r="D58" s="128"/>
      <c r="E58" s="45"/>
      <c r="F58" s="45"/>
      <c r="G58" s="45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7"/>
      <c r="AI58" s="129"/>
      <c r="AJ58" s="48"/>
      <c r="AK58" s="47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9"/>
      <c r="AZ58" s="68">
        <f>SUM(C58:AY58)</f>
        <v>12</v>
      </c>
      <c r="BA58" s="82"/>
    </row>
    <row r="59" spans="1:53" ht="16.5" thickBot="1" x14ac:dyDescent="0.3">
      <c r="A59" s="130" t="s">
        <v>161</v>
      </c>
      <c r="B59" s="131"/>
      <c r="C59" s="132">
        <f>SUM(C2:C58)</f>
        <v>34</v>
      </c>
      <c r="D59" s="132">
        <f t="shared" ref="D59:AY59" si="1">SUM(D2:D58)</f>
        <v>17</v>
      </c>
      <c r="E59" s="132">
        <f t="shared" si="1"/>
        <v>0</v>
      </c>
      <c r="F59" s="132">
        <f t="shared" si="1"/>
        <v>0</v>
      </c>
      <c r="G59" s="132">
        <f t="shared" si="1"/>
        <v>0</v>
      </c>
      <c r="H59" s="132">
        <f t="shared" si="1"/>
        <v>18</v>
      </c>
      <c r="I59" s="132">
        <f t="shared" si="1"/>
        <v>7</v>
      </c>
      <c r="J59" s="132">
        <f t="shared" si="1"/>
        <v>0</v>
      </c>
      <c r="K59" s="132">
        <f t="shared" si="1"/>
        <v>4</v>
      </c>
      <c r="L59" s="132">
        <f t="shared" si="1"/>
        <v>1</v>
      </c>
      <c r="M59" s="132">
        <f t="shared" si="1"/>
        <v>10</v>
      </c>
      <c r="N59" s="132">
        <f t="shared" si="1"/>
        <v>5</v>
      </c>
      <c r="O59" s="132">
        <f t="shared" si="1"/>
        <v>1</v>
      </c>
      <c r="P59" s="132">
        <f t="shared" si="1"/>
        <v>0</v>
      </c>
      <c r="Q59" s="132">
        <f t="shared" si="1"/>
        <v>2</v>
      </c>
      <c r="R59" s="132">
        <f t="shared" si="1"/>
        <v>2</v>
      </c>
      <c r="S59" s="132">
        <f t="shared" si="1"/>
        <v>2</v>
      </c>
      <c r="T59" s="132">
        <f t="shared" si="1"/>
        <v>0</v>
      </c>
      <c r="U59" s="132">
        <f t="shared" si="1"/>
        <v>5</v>
      </c>
      <c r="V59" s="132">
        <f t="shared" si="1"/>
        <v>0</v>
      </c>
      <c r="W59" s="132">
        <f t="shared" si="1"/>
        <v>0</v>
      </c>
      <c r="X59" s="132">
        <f t="shared" si="1"/>
        <v>1</v>
      </c>
      <c r="Y59" s="132">
        <f t="shared" si="1"/>
        <v>0</v>
      </c>
      <c r="Z59" s="132">
        <f t="shared" si="1"/>
        <v>1</v>
      </c>
      <c r="AA59" s="132">
        <f t="shared" si="1"/>
        <v>2</v>
      </c>
      <c r="AB59" s="132">
        <f t="shared" si="1"/>
        <v>0</v>
      </c>
      <c r="AC59" s="132">
        <f t="shared" si="1"/>
        <v>4</v>
      </c>
      <c r="AD59" s="132">
        <f t="shared" si="1"/>
        <v>4</v>
      </c>
      <c r="AE59" s="132">
        <f t="shared" si="1"/>
        <v>0</v>
      </c>
      <c r="AF59" s="132">
        <f t="shared" si="1"/>
        <v>0</v>
      </c>
      <c r="AG59" s="132">
        <f t="shared" si="1"/>
        <v>0</v>
      </c>
      <c r="AH59" s="132">
        <f t="shared" si="1"/>
        <v>4</v>
      </c>
      <c r="AI59" s="132">
        <f t="shared" si="1"/>
        <v>1</v>
      </c>
      <c r="AJ59" s="132">
        <f t="shared" si="1"/>
        <v>1</v>
      </c>
      <c r="AK59" s="132">
        <f t="shared" si="1"/>
        <v>0</v>
      </c>
      <c r="AL59" s="132">
        <f t="shared" si="1"/>
        <v>0</v>
      </c>
      <c r="AM59" s="132">
        <f t="shared" si="1"/>
        <v>0</v>
      </c>
      <c r="AN59" s="132">
        <f t="shared" si="1"/>
        <v>0</v>
      </c>
      <c r="AO59" s="132">
        <f t="shared" si="1"/>
        <v>0</v>
      </c>
      <c r="AP59" s="132">
        <f t="shared" si="1"/>
        <v>0</v>
      </c>
      <c r="AQ59" s="132">
        <f t="shared" si="1"/>
        <v>0</v>
      </c>
      <c r="AR59" s="132">
        <f t="shared" si="1"/>
        <v>0</v>
      </c>
      <c r="AS59" s="132">
        <f t="shared" si="1"/>
        <v>0</v>
      </c>
      <c r="AT59" s="132">
        <f t="shared" si="1"/>
        <v>0</v>
      </c>
      <c r="AU59" s="132">
        <f t="shared" si="1"/>
        <v>1</v>
      </c>
      <c r="AV59" s="132">
        <f t="shared" si="1"/>
        <v>0</v>
      </c>
      <c r="AW59" s="132">
        <f t="shared" si="1"/>
        <v>3</v>
      </c>
      <c r="AX59" s="132">
        <f t="shared" si="1"/>
        <v>3</v>
      </c>
      <c r="AY59" s="132">
        <f t="shared" si="1"/>
        <v>0</v>
      </c>
      <c r="AZ59" s="133">
        <f>SUM(C59:AY59)</f>
        <v>133</v>
      </c>
      <c r="BA59" s="134"/>
    </row>
    <row r="60" spans="1:53" ht="16.5" thickBot="1" x14ac:dyDescent="0.3">
      <c r="A60" s="135" t="s">
        <v>162</v>
      </c>
      <c r="B60" s="136" t="s">
        <v>163</v>
      </c>
      <c r="C60" s="137"/>
      <c r="D60" s="137"/>
      <c r="E60" s="137"/>
      <c r="F60" s="137"/>
      <c r="G60" s="138"/>
      <c r="H60" s="137"/>
      <c r="I60" s="138"/>
      <c r="J60" s="137"/>
      <c r="K60" s="137"/>
      <c r="L60" s="50"/>
      <c r="M60" s="137"/>
      <c r="N60" s="137"/>
      <c r="O60" s="137"/>
      <c r="P60" s="137"/>
      <c r="Q60" s="137"/>
      <c r="R60" s="137"/>
      <c r="S60" s="137"/>
      <c r="T60" s="137"/>
      <c r="U60" s="139"/>
      <c r="V60" s="51"/>
      <c r="W60" s="51"/>
      <c r="X60" s="51"/>
      <c r="Y60" s="81"/>
      <c r="Z60" s="137"/>
      <c r="AA60" s="137"/>
      <c r="AB60" s="137"/>
      <c r="AC60" s="66"/>
      <c r="AD60" s="66"/>
      <c r="AE60" s="66"/>
      <c r="AF60" s="66"/>
      <c r="AG60" s="66"/>
      <c r="AH60" s="66"/>
      <c r="AI60" s="67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140"/>
      <c r="AZ60" s="141">
        <f t="shared" ref="AZ60:AZ68" si="2">SUM(C60:AY60)</f>
        <v>0</v>
      </c>
      <c r="BA60" s="68"/>
    </row>
    <row r="61" spans="1:53" ht="15.75" thickBot="1" x14ac:dyDescent="0.3">
      <c r="A61" s="142" t="s">
        <v>164</v>
      </c>
      <c r="B61" s="143" t="s">
        <v>165</v>
      </c>
      <c r="C61" s="74"/>
      <c r="D61" s="74"/>
      <c r="E61" s="74"/>
      <c r="F61" s="74"/>
      <c r="G61" s="74"/>
      <c r="H61" s="72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13"/>
      <c r="X61" s="13"/>
      <c r="Y61" s="137"/>
      <c r="Z61" s="74"/>
      <c r="AA61" s="80"/>
      <c r="AB61" s="80"/>
      <c r="AC61" s="80"/>
      <c r="AD61" s="74"/>
      <c r="AE61" s="74"/>
      <c r="AF61" s="74"/>
      <c r="AG61" s="74"/>
      <c r="AH61" s="74"/>
      <c r="AI61" s="72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144"/>
      <c r="AZ61" s="141">
        <f t="shared" si="2"/>
        <v>0</v>
      </c>
      <c r="BA61" s="145"/>
    </row>
    <row r="62" spans="1:53" ht="15.75" thickBot="1" x14ac:dyDescent="0.3">
      <c r="A62" s="83" t="s">
        <v>166</v>
      </c>
      <c r="B62" s="143" t="s">
        <v>165</v>
      </c>
      <c r="C62" s="146"/>
      <c r="D62" s="74"/>
      <c r="E62" s="74"/>
      <c r="F62" s="74"/>
      <c r="G62" s="74"/>
      <c r="H62" s="72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85">
        <v>1</v>
      </c>
      <c r="X62" s="13"/>
      <c r="Y62" s="137"/>
      <c r="Z62" s="74"/>
      <c r="AA62" s="80"/>
      <c r="AB62" s="80"/>
      <c r="AC62" s="80"/>
      <c r="AD62" s="74"/>
      <c r="AE62" s="74"/>
      <c r="AF62" s="74"/>
      <c r="AG62" s="74"/>
      <c r="AH62" s="74"/>
      <c r="AI62" s="72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144"/>
      <c r="AZ62" s="141">
        <f t="shared" si="2"/>
        <v>1</v>
      </c>
      <c r="BA62" s="145"/>
    </row>
    <row r="63" spans="1:53" ht="16.5" thickBot="1" x14ac:dyDescent="0.3">
      <c r="A63" s="147" t="s">
        <v>167</v>
      </c>
      <c r="B63" s="143" t="s">
        <v>168</v>
      </c>
      <c r="C63" s="32"/>
      <c r="D63" s="13"/>
      <c r="E63" s="13"/>
      <c r="F63" s="13"/>
      <c r="G63" s="1"/>
      <c r="H63" s="13"/>
      <c r="I63" s="13"/>
      <c r="J63" s="1"/>
      <c r="K63" s="13"/>
      <c r="L63" s="1"/>
      <c r="M63" s="1"/>
      <c r="N63" s="1"/>
      <c r="O63" s="1"/>
      <c r="P63" s="1"/>
      <c r="Q63" s="1"/>
      <c r="R63" s="13"/>
      <c r="S63" s="1"/>
      <c r="T63" s="13"/>
      <c r="U63" s="13"/>
      <c r="V63" s="13"/>
      <c r="W63" s="13"/>
      <c r="X63" s="15"/>
      <c r="Y63" s="1"/>
      <c r="Z63" s="1"/>
      <c r="AA63" s="13"/>
      <c r="AB63" s="13"/>
      <c r="AC63" s="13"/>
      <c r="AD63" s="13"/>
      <c r="AE63" s="13"/>
      <c r="AF63" s="1"/>
      <c r="AG63" s="13"/>
      <c r="AH63" s="13"/>
      <c r="AI63" s="72"/>
      <c r="AJ63" s="13"/>
      <c r="AK63" s="13"/>
      <c r="AL63" s="13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3"/>
      <c r="AX63" s="13"/>
      <c r="AY63" s="26"/>
      <c r="AZ63" s="141">
        <f t="shared" si="2"/>
        <v>0</v>
      </c>
      <c r="BA63" s="145"/>
    </row>
    <row r="64" spans="1:53" ht="15.75" thickBot="1" x14ac:dyDescent="0.3">
      <c r="A64" s="142" t="s">
        <v>169</v>
      </c>
      <c r="B64" s="148" t="s">
        <v>170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2">
        <v>1</v>
      </c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2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144"/>
      <c r="AZ64" s="141">
        <f t="shared" si="2"/>
        <v>1</v>
      </c>
      <c r="BA64" s="145"/>
    </row>
    <row r="65" spans="1:53" ht="19.5" thickBot="1" x14ac:dyDescent="0.35">
      <c r="A65" s="149" t="s">
        <v>171</v>
      </c>
      <c r="B65" s="143" t="s">
        <v>121</v>
      </c>
      <c r="C65" s="150"/>
      <c r="D65" s="150"/>
      <c r="E65" s="150"/>
      <c r="F65" s="150"/>
      <c r="G65" s="151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2"/>
      <c r="X65" s="152"/>
      <c r="Y65" s="52"/>
      <c r="Z65" s="150"/>
      <c r="AA65" s="150"/>
      <c r="AB65" s="150"/>
      <c r="AC65" s="150"/>
      <c r="AD65" s="150"/>
      <c r="AE65" s="150"/>
      <c r="AF65" s="150"/>
      <c r="AG65" s="150"/>
      <c r="AH65" s="150"/>
      <c r="AI65" s="153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4"/>
      <c r="AX65" s="155"/>
      <c r="AY65" s="154"/>
      <c r="AZ65" s="141">
        <f t="shared" si="2"/>
        <v>0</v>
      </c>
      <c r="BA65" s="156"/>
    </row>
    <row r="66" spans="1:53" ht="15.75" thickBot="1" x14ac:dyDescent="0.3">
      <c r="A66" s="142" t="s">
        <v>172</v>
      </c>
      <c r="B66" s="148" t="s">
        <v>173</v>
      </c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2">
        <v>5</v>
      </c>
      <c r="X66" s="74"/>
      <c r="Y66" s="74"/>
      <c r="Z66" s="74"/>
      <c r="AA66" s="74"/>
      <c r="AB66" s="74"/>
      <c r="AC66" s="74"/>
      <c r="AD66" s="74" t="s">
        <v>174</v>
      </c>
      <c r="AE66" s="74"/>
      <c r="AF66" s="74"/>
      <c r="AG66" s="74"/>
      <c r="AH66" s="74"/>
      <c r="AI66" s="72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144"/>
      <c r="AZ66" s="141">
        <f t="shared" si="2"/>
        <v>5</v>
      </c>
      <c r="BA66" s="145"/>
    </row>
    <row r="67" spans="1:53" ht="19.5" thickBot="1" x14ac:dyDescent="0.35">
      <c r="A67" s="157" t="s">
        <v>175</v>
      </c>
      <c r="B67" s="158" t="s">
        <v>176</v>
      </c>
      <c r="C67" s="159"/>
      <c r="D67" s="159"/>
      <c r="E67" s="159"/>
      <c r="F67" s="159"/>
      <c r="G67" s="160"/>
      <c r="H67" s="159"/>
      <c r="I67" s="159"/>
      <c r="J67" s="159"/>
      <c r="K67" s="159"/>
      <c r="L67" s="159"/>
      <c r="M67" s="159"/>
      <c r="N67" s="159"/>
      <c r="O67" s="159"/>
      <c r="P67" s="161">
        <v>2</v>
      </c>
      <c r="Q67" s="159"/>
      <c r="R67" s="159"/>
      <c r="S67" s="159"/>
      <c r="T67" s="159"/>
      <c r="U67" s="159"/>
      <c r="V67" s="159"/>
      <c r="W67" s="162">
        <v>6</v>
      </c>
      <c r="X67" s="163"/>
      <c r="Y67" s="40"/>
      <c r="Z67" s="159"/>
      <c r="AA67" s="159"/>
      <c r="AB67" s="159"/>
      <c r="AC67" s="159"/>
      <c r="AD67" s="159"/>
      <c r="AE67" s="159"/>
      <c r="AF67" s="159"/>
      <c r="AG67" s="159"/>
      <c r="AH67" s="159"/>
      <c r="AI67" s="122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64"/>
      <c r="AZ67" s="171">
        <f t="shared" si="2"/>
        <v>8</v>
      </c>
      <c r="BA67" s="165"/>
    </row>
    <row r="68" spans="1:53" ht="21" thickBot="1" x14ac:dyDescent="0.35">
      <c r="A68" s="166" t="s">
        <v>177</v>
      </c>
      <c r="B68" s="167"/>
      <c r="C68" s="168">
        <f>SUM(C60:C67)</f>
        <v>0</v>
      </c>
      <c r="D68" s="168">
        <f t="shared" ref="D68:AY68" si="3">SUM(D60:D67)</f>
        <v>0</v>
      </c>
      <c r="E68" s="168">
        <f t="shared" si="3"/>
        <v>0</v>
      </c>
      <c r="F68" s="168">
        <f t="shared" si="3"/>
        <v>0</v>
      </c>
      <c r="G68" s="168">
        <f t="shared" si="3"/>
        <v>0</v>
      </c>
      <c r="H68" s="168">
        <f t="shared" si="3"/>
        <v>0</v>
      </c>
      <c r="I68" s="168">
        <f t="shared" si="3"/>
        <v>0</v>
      </c>
      <c r="J68" s="168">
        <f t="shared" si="3"/>
        <v>0</v>
      </c>
      <c r="K68" s="168">
        <f t="shared" si="3"/>
        <v>0</v>
      </c>
      <c r="L68" s="168">
        <f t="shared" si="3"/>
        <v>0</v>
      </c>
      <c r="M68" s="168">
        <f t="shared" si="3"/>
        <v>0</v>
      </c>
      <c r="N68" s="168">
        <f t="shared" si="3"/>
        <v>0</v>
      </c>
      <c r="O68" s="168">
        <f t="shared" si="3"/>
        <v>0</v>
      </c>
      <c r="P68" s="168">
        <f t="shared" si="3"/>
        <v>2</v>
      </c>
      <c r="Q68" s="168">
        <f t="shared" si="3"/>
        <v>0</v>
      </c>
      <c r="R68" s="168">
        <f t="shared" si="3"/>
        <v>0</v>
      </c>
      <c r="S68" s="168">
        <f t="shared" si="3"/>
        <v>0</v>
      </c>
      <c r="T68" s="168">
        <f t="shared" si="3"/>
        <v>0</v>
      </c>
      <c r="U68" s="168">
        <f t="shared" si="3"/>
        <v>0</v>
      </c>
      <c r="V68" s="168">
        <f t="shared" si="3"/>
        <v>0</v>
      </c>
      <c r="W68" s="168">
        <f t="shared" si="3"/>
        <v>13</v>
      </c>
      <c r="X68" s="168">
        <f t="shared" si="3"/>
        <v>0</v>
      </c>
      <c r="Y68" s="168">
        <f t="shared" si="3"/>
        <v>0</v>
      </c>
      <c r="Z68" s="168">
        <f t="shared" si="3"/>
        <v>0</v>
      </c>
      <c r="AA68" s="168">
        <f t="shared" si="3"/>
        <v>0</v>
      </c>
      <c r="AB68" s="168">
        <f t="shared" si="3"/>
        <v>0</v>
      </c>
      <c r="AC68" s="168">
        <f t="shared" si="3"/>
        <v>0</v>
      </c>
      <c r="AD68" s="168">
        <f t="shared" si="3"/>
        <v>0</v>
      </c>
      <c r="AE68" s="168">
        <f t="shared" si="3"/>
        <v>0</v>
      </c>
      <c r="AF68" s="168">
        <f t="shared" si="3"/>
        <v>0</v>
      </c>
      <c r="AG68" s="168">
        <f t="shared" si="3"/>
        <v>0</v>
      </c>
      <c r="AH68" s="168">
        <f t="shared" si="3"/>
        <v>0</v>
      </c>
      <c r="AI68" s="168">
        <f t="shared" si="3"/>
        <v>0</v>
      </c>
      <c r="AJ68" s="168">
        <f t="shared" si="3"/>
        <v>0</v>
      </c>
      <c r="AK68" s="168">
        <f t="shared" si="3"/>
        <v>0</v>
      </c>
      <c r="AL68" s="168">
        <f t="shared" si="3"/>
        <v>0</v>
      </c>
      <c r="AM68" s="168">
        <f t="shared" si="3"/>
        <v>0</v>
      </c>
      <c r="AN68" s="168">
        <f t="shared" si="3"/>
        <v>0</v>
      </c>
      <c r="AO68" s="168">
        <f t="shared" si="3"/>
        <v>0</v>
      </c>
      <c r="AP68" s="168">
        <f t="shared" si="3"/>
        <v>0</v>
      </c>
      <c r="AQ68" s="168">
        <f t="shared" si="3"/>
        <v>0</v>
      </c>
      <c r="AR68" s="168">
        <f t="shared" si="3"/>
        <v>0</v>
      </c>
      <c r="AS68" s="168">
        <f t="shared" si="3"/>
        <v>0</v>
      </c>
      <c r="AT68" s="168">
        <f t="shared" si="3"/>
        <v>0</v>
      </c>
      <c r="AU68" s="168">
        <f t="shared" si="3"/>
        <v>0</v>
      </c>
      <c r="AV68" s="168">
        <f t="shared" si="3"/>
        <v>0</v>
      </c>
      <c r="AW68" s="168">
        <f t="shared" si="3"/>
        <v>0</v>
      </c>
      <c r="AX68" s="168">
        <f t="shared" si="3"/>
        <v>0</v>
      </c>
      <c r="AY68" s="168">
        <f t="shared" si="3"/>
        <v>0</v>
      </c>
      <c r="AZ68" s="169">
        <f t="shared" si="2"/>
        <v>15</v>
      </c>
      <c r="BA68" s="170">
        <f>AZ59+AZ68</f>
        <v>148</v>
      </c>
    </row>
  </sheetData>
  <customSheetViews>
    <customSheetView guid="{CC5F2093-3D9D-446F-B0C0-37487A6D96B6}" scale="80" showPageBreaks="1">
      <pane ySplit="1" topLeftCell="A2" activePane="bottomLeft" state="frozen"/>
      <selection pane="bottomLeft" activeCell="M5" sqref="M5"/>
      <pageMargins left="0.7" right="0.7" top="0.75" bottom="0.75" header="0.3" footer="0.3"/>
    </customSheetView>
    <customSheetView guid="{45E8F6D7-795F-42D9-AFC0-E53D36C688B0}" scale="47" topLeftCell="A34">
      <selection activeCell="E44" sqref="E44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משרות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 Kholmogorova</dc:creator>
  <cp:lastModifiedBy>Olga Rotman</cp:lastModifiedBy>
  <dcterms:created xsi:type="dcterms:W3CDTF">2026-02-19T12:41:52Z</dcterms:created>
  <dcterms:modified xsi:type="dcterms:W3CDTF">2026-03-03T14:17:04Z</dcterms:modified>
</cp:coreProperties>
</file>