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vmlDrawing1.vml" ContentType="application/vnd.openxmlformats-officedocument.vmlDrawing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revisions/revisionLog3.xml" ContentType="application/vnd.openxmlformats-officedocument.spreadsheetml.revisionLog+xml"/>
  <Override PartName="/xl/revisions/revisionLog2.xml" ContentType="application/vnd.openxmlformats-officedocument.spreadsheetml.revisionLog+xml"/>
  <Override PartName="/xl/revisions/userNames.xml" ContentType="application/vnd.openxmlformats-officedocument.spreadsheetml.userNames+xml"/>
  <Override PartName="/xl/revisions/revisionLog5.xml" ContentType="application/vnd.openxmlformats-officedocument.spreadsheetml.revisionLog+xml"/>
  <Override PartName="/xl/revisions/revisionLog11.xml" ContentType="application/vnd.openxmlformats-officedocument.spreadsheetml.revisionLog+xml"/>
  <Override PartName="/xl/revisions/revisionLog8.xml" ContentType="application/vnd.openxmlformats-officedocument.spreadsheetml.revisionLog+xml"/>
  <Override PartName="/xl/revisions/revisionHeaders.xml" ContentType="application/vnd.openxmlformats-officedocument.spreadsheetml.revisionHeaders+xml"/>
  <Override PartName="/xl/revisions/revisionLog1.xml" ContentType="application/vnd.openxmlformats-officedocument.spreadsheetml.revisionLog+xml"/>
  <Override PartName="/xl/revisions/revisionLog4.xml" ContentType="application/vnd.openxmlformats-officedocument.spreadsheetml.revisionLog+xml"/>
  <Override PartName="/xl/revisions/revisionLog6.xml" ContentType="application/vnd.openxmlformats-officedocument.spreadsheetml.revisionLog+xml"/>
  <Override PartName="/xl/revisions/revisionLog7.xml" ContentType="application/vnd.openxmlformats-officedocument.spreadsheetml.revisionLog+xml"/>
  <Override PartName="/xl/revisions/revisionLog10.xml" ContentType="application/vnd.openxmlformats-officedocument.spreadsheetml.revisionLog+xml"/>
  <Override PartName="/xl/revisions/revisionLog9.xml" ContentType="application/vnd.openxmlformats-officedocument.spreadsheetml.revisionLog+xml"/>
  <Override PartName="/xl/revisions/revisionLog12.xml" ContentType="application/vnd.openxmlformats-officedocument.spreadsheetml.revisionLog+xml"/>
  <Override PartName="/xl/sharedStrings.xml" ContentType="application/vnd.openxmlformats-officedocument.spreadsheetml.sharedStrings+xml"/>
  <Override PartName="/xl/comments1.xml" ContentType="application/vnd.openxmlformats-officedocument.spreadsheetml.comment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משרות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Elena Loskutov (MIG)</author>
    <author>Irena Wasserman (Manpower at Flex)</author>
    <author>Olga Rotman</author>
  </authors>
  <commentList>
    <comment ref="A42" authorId="2">
      <text>
        <r>
          <rPr>
            <sz val="10"/>
            <rFont val="Arial"/>
            <family val="2"/>
          </rPr>
          <t xml:space="preserve">Olga Rotman:
</t>
        </r>
        <r>
          <rPr>
            <sz val="9"/>
            <color rgb="FF000000"/>
            <rFont val="Tahoma"/>
            <family val="2"/>
            <charset val="1"/>
          </rPr>
          <t xml:space="preserve">שירות צבאי, 4 שנים בארץ, אזרחות, נסיון לרוב התפקידים
</t>
        </r>
      </text>
    </comment>
    <comment ref="B13" authorId="2">
      <text>
        <r>
          <rPr>
            <sz val="10"/>
            <rFont val="Arial"/>
            <family val="2"/>
          </rPr>
          <t xml:space="preserve">Olga Rotman:
</t>
        </r>
        <r>
          <rPr>
            <b val="true"/>
            <i val="true"/>
            <sz val="9"/>
            <color rgb="FF000000"/>
            <rFont val="Tahoma"/>
            <family val="2"/>
            <charset val="1"/>
          </rPr>
          <t xml:space="preserve">מועמדים עם נסיון. לשלוח קורות חיים לשגיא ינקוביץ'
</t>
        </r>
      </text>
    </comment>
    <comment ref="B24" authorId="2">
      <text>
        <r>
          <rPr>
            <sz val="10"/>
            <rFont val="Arial"/>
            <family val="2"/>
          </rPr>
          <t xml:space="preserve">Olga Rotman:
</t>
        </r>
        <r>
          <rPr>
            <b val="true"/>
            <i val="true"/>
            <sz val="9"/>
            <color rgb="FF000000"/>
            <rFont val="Tahoma"/>
            <family val="2"/>
            <charset val="1"/>
          </rPr>
          <t xml:space="preserve">לשלוח קורות חיים לעודד אפל
</t>
        </r>
      </text>
    </comment>
    <comment ref="B25" authorId="2">
      <text>
        <r>
          <rPr>
            <sz val="10"/>
            <rFont val="Arial"/>
            <family val="2"/>
          </rPr>
          <t xml:space="preserve">Olga Rotman:
</t>
        </r>
        <r>
          <rPr>
            <b val="true"/>
            <i val="true"/>
            <sz val="9"/>
            <color rgb="FF000000"/>
            <rFont val="Tahoma"/>
            <family val="2"/>
            <charset val="1"/>
          </rPr>
          <t xml:space="preserve">אנגלית - חובה
ברמה אישית טובה
</t>
        </r>
      </text>
    </comment>
    <comment ref="C2" authorId="2">
      <text>
        <r>
          <rPr>
            <sz val="10"/>
            <rFont val="Arial"/>
            <family val="2"/>
          </rPr>
          <t xml:space="preserve">Olga Rotman:
</t>
        </r>
        <r>
          <rPr>
            <sz val="9"/>
            <color rgb="FF000000"/>
            <rFont val="Tahoma"/>
            <family val="2"/>
            <charset val="1"/>
          </rPr>
          <t xml:space="preserve">הלחמה פשוטה. אין צורך בנסיון
</t>
        </r>
      </text>
    </comment>
    <comment ref="C26" authorId="2">
      <text>
        <r>
          <rPr>
            <sz val="10"/>
            <rFont val="Arial"/>
            <family val="2"/>
          </rPr>
          <t xml:space="preserve">Olga Rotman:
</t>
        </r>
        <r>
          <rPr>
            <sz val="9"/>
            <color rgb="FF000000"/>
            <rFont val="Tahoma"/>
            <family val="2"/>
            <charset val="1"/>
          </rPr>
          <t xml:space="preserve">• ניסיון חובה
• עבודה במשמרות עדיפות
•אפשר גם  משמרת בוקר + שעות נוספות
</t>
        </r>
        <r>
          <rPr>
            <b val="true"/>
            <sz val="9"/>
            <color rgb="FF000000"/>
            <rFont val="Tahoma"/>
            <family val="2"/>
            <charset val="1"/>
          </rPr>
          <t xml:space="preserve">Olga Rotman:
</t>
        </r>
        <r>
          <rPr>
            <sz val="9"/>
            <color rgb="FF000000"/>
            <rFont val="Tahoma"/>
            <family val="2"/>
            <charset val="1"/>
          </rPr>
          <t xml:space="preserve">חדש
</t>
        </r>
      </text>
    </comment>
    <comment ref="C37" authorId="2">
      <text>
        <r>
          <rPr>
            <sz val="10"/>
            <rFont val="Arial"/>
            <family val="2"/>
          </rPr>
          <t xml:space="preserve">Olga Rotman:
</t>
        </r>
        <r>
          <rPr>
            <sz val="9"/>
            <color rgb="FF000000"/>
            <rFont val="Tahoma"/>
            <family val="2"/>
            <charset val="1"/>
          </rPr>
          <t xml:space="preserve">מלחימה מתקנת בוקר
+ש"נ
</t>
        </r>
      </text>
    </comment>
    <comment ref="C45" authorId="2">
      <text>
        <r>
          <rPr>
            <sz val="10"/>
            <rFont val="Arial"/>
            <family val="2"/>
          </rPr>
          <t xml:space="preserve">Olga Rotman:
</t>
        </r>
        <r>
          <rPr>
            <sz val="9"/>
            <color rgb="FF000000"/>
            <rFont val="Tahoma"/>
            <family val="2"/>
            <charset val="1"/>
          </rPr>
          <t xml:space="preserve">נסיון בהלחמת רכיבי SMT
שכר: עד 50 ₪ לשעה. אולי גם יותר אם תותחית
</t>
        </r>
      </text>
    </comment>
    <comment ref="C53" authorId="2">
      <text>
        <r>
          <rPr>
            <sz val="10"/>
            <rFont val="Arial"/>
            <family val="2"/>
          </rPr>
          <t xml:space="preserve">Olga Rotman:
</t>
        </r>
        <r>
          <rPr>
            <sz val="9"/>
            <color rgb="FF000000"/>
            <rFont val="Tahoma"/>
            <family val="2"/>
            <charset val="1"/>
          </rPr>
          <t xml:space="preserve">רצוי עם נסיון
</t>
        </r>
      </text>
    </comment>
    <comment ref="C55" authorId="2">
      <text>
        <r>
          <rPr>
            <sz val="10"/>
            <rFont val="Arial"/>
            <family val="2"/>
          </rPr>
          <t xml:space="preserve">Olga Rotman:
</t>
        </r>
        <r>
          <rPr>
            <sz val="9"/>
            <color rgb="FF000000"/>
            <rFont val="Tahoma"/>
            <family val="2"/>
            <charset val="1"/>
          </rPr>
          <t xml:space="preserve">אפשר מלחימות ללא נסיון
</t>
        </r>
        <r>
          <rPr>
            <b val="true"/>
            <sz val="9"/>
            <color rgb="FF000000"/>
            <rFont val="Tahoma"/>
            <family val="2"/>
            <charset val="1"/>
          </rPr>
          <t xml:space="preserve">Olga Rotman:
</t>
        </r>
        <r>
          <rPr>
            <sz val="9"/>
            <color rgb="FF000000"/>
            <rFont val="Tahoma"/>
            <family val="2"/>
            <charset val="1"/>
          </rPr>
          <t xml:space="preserve">40 ₪ לשעה
</t>
        </r>
      </text>
    </comment>
    <comment ref="H6" authorId="2">
      <text>
        <r>
          <rPr>
            <sz val="10"/>
            <rFont val="Arial"/>
            <family val="2"/>
          </rPr>
          <t xml:space="preserve">Olga Rotman:
</t>
        </r>
        <r>
          <rPr>
            <sz val="9"/>
            <color rgb="FF000000"/>
            <rFont val="Tahoma"/>
            <family val="2"/>
            <charset val="1"/>
          </rPr>
          <t xml:space="preserve">מרכיב לבוקר+ש"נ, אבל אם יש מישהו יכול לעבוד לילות מדי פעם 
יתרון
ידע בקריאת שרטוטים, מחשב, אנגלית בסיסית
שכר: 38-40 תלוי בנסיון
לזמן ישירות לאדם דרורי
שימו לב, קו 90% עכם עובדים מבוגרים דוברי רוסית....
</t>
        </r>
      </text>
    </comment>
    <comment ref="H8" authorId="2">
      <text>
        <r>
          <rPr>
            <sz val="10"/>
            <rFont val="Arial"/>
            <family val="2"/>
          </rPr>
          <t xml:space="preserve">
בוקר + ערב (נכונות לא תמיד  )  + נכונות לשעות נוספות (יומיים בשבוע ~), 
אנגלית ברמה גבוהה,
 כתב יד ברור
</t>
        </r>
      </text>
    </comment>
    <comment ref="H10" authorId="2">
      <text>
        <r>
          <rPr>
            <sz val="10"/>
            <rFont val="Arial"/>
            <family val="2"/>
          </rPr>
          <t xml:space="preserve">Olga Rotman:
</t>
        </r>
        <r>
          <rPr>
            <sz val="9"/>
            <color rgb="FF000000"/>
            <rFont val="Tahoma"/>
            <family val="2"/>
            <charset val="1"/>
          </rPr>
          <t xml:space="preserve">מריץ+מרכיב
בוקר+ש"נ
לעבור גם אצל ארתור!!!
</t>
        </r>
      </text>
    </comment>
    <comment ref="H17" authorId="2">
      <text>
        <r>
          <rPr>
            <sz val="10"/>
            <rFont val="Arial"/>
            <family val="2"/>
          </rPr>
          <t xml:space="preserve">Olga Rotman:
</t>
        </r>
        <r>
          <rPr>
            <sz val="9"/>
            <color rgb="FF000000"/>
            <rFont val="Tahoma"/>
            <family val="2"/>
            <charset val="1"/>
          </rPr>
          <t xml:space="preserve">בנים
</t>
        </r>
      </text>
    </comment>
    <comment ref="H52" authorId="2">
      <text>
        <r>
          <rPr>
            <sz val="10"/>
            <rFont val="Arial"/>
            <family val="2"/>
          </rPr>
          <t xml:space="preserve">Olga Rotman:
</t>
        </r>
        <r>
          <rPr>
            <sz val="9"/>
            <color rgb="FF000000"/>
            <rFont val="Tahoma"/>
            <family val="2"/>
            <charset val="1"/>
          </rPr>
          <t xml:space="preserve">4 מרכיבות
2 מרכיבי/ות סט-אפ
</t>
        </r>
      </text>
    </comment>
    <comment ref="I6" authorId="2">
      <text>
        <r>
          <rPr>
            <sz val="10"/>
            <rFont val="Arial"/>
            <family val="2"/>
          </rPr>
          <t xml:space="preserve">Olga Rotman:
</t>
        </r>
        <r>
          <rPr>
            <sz val="9"/>
            <color rgb="FF000000"/>
            <rFont val="Tahoma"/>
            <family val="2"/>
            <charset val="1"/>
          </rPr>
          <t xml:space="preserve">מריץ לבוקר+ש"נ, אבל אם יש מישהו יכול לעבוד לילות מדי פעם 
יתרון, מחשב, אנגלית בסיסית
שכר: 38-40 תלוי בנסיון
לזמן ישירות לאדם דרורי
שימו לב, קו 90% עכם עובדים מבוגרים דוברי רוסית....
</t>
        </r>
      </text>
    </comment>
    <comment ref="I8" authorId="2">
      <text>
        <r>
          <rPr>
            <sz val="10"/>
            <rFont val="Arial"/>
            <family val="2"/>
          </rPr>
          <t xml:space="preserve">
בוקר + ערב (נכונות לא תמיד  )  + נכונות לשעות נוספות (יומיים בשבוע ~), 
אנגלית ברמה גבוהה,
 כתב יד ברור
</t>
        </r>
      </text>
    </comment>
    <comment ref="I17" authorId="2">
      <text>
        <r>
          <rPr>
            <sz val="10"/>
            <rFont val="Arial"/>
            <family val="2"/>
          </rPr>
          <t xml:space="preserve">Olga Rotman:
</t>
        </r>
        <r>
          <rPr>
            <sz val="9"/>
            <color rgb="FF000000"/>
            <rFont val="Tahoma"/>
            <family val="2"/>
            <charset val="1"/>
          </rPr>
          <t xml:space="preserve">בנים
</t>
        </r>
      </text>
    </comment>
    <comment ref="I60" authorId="2">
      <text>
        <r>
          <rPr>
            <sz val="10"/>
            <rFont val="Arial"/>
            <family val="2"/>
          </rPr>
          <t xml:space="preserve">Olga Rotman:
</t>
        </r>
        <r>
          <rPr>
            <b val="true"/>
            <i val="true"/>
            <sz val="9"/>
            <color rgb="FF000000"/>
            <rFont val="Tahoma"/>
            <family val="2"/>
            <charset val="1"/>
          </rPr>
          <t xml:space="preserve">עושה בדיקה חשמלית וקולט רכיבי SMT
חובה עברית, 
אנגלית סבירה.
בוקר +ש"נ
אפשר בנות.
שכר: 35-37 ₪ לשעה לאיכותי.
</t>
        </r>
      </text>
    </comment>
    <comment ref="K52" authorId="2">
      <text>
        <r>
          <rPr>
            <sz val="10"/>
            <rFont val="Arial"/>
            <family val="2"/>
          </rPr>
          <t xml:space="preserve">Olga Rotman:
</t>
        </r>
        <r>
          <rPr>
            <sz val="9"/>
            <color rgb="FF000000"/>
            <rFont val="Tahoma"/>
            <family val="2"/>
            <charset val="1"/>
          </rPr>
          <t xml:space="preserve">אפשר בוקר/אפשר משמרות
</t>
        </r>
      </text>
    </comment>
    <comment ref="K53" authorId="2">
      <text>
        <r>
          <rPr>
            <sz val="10"/>
            <rFont val="Arial"/>
            <family val="2"/>
          </rPr>
          <t xml:space="preserve">Olga Rotman:
</t>
        </r>
        <r>
          <rPr>
            <sz val="9"/>
            <color rgb="FF000000"/>
            <rFont val="Tahoma"/>
            <family val="2"/>
            <charset val="1"/>
          </rPr>
          <t xml:space="preserve">רצוי עם נסיון
</t>
        </r>
      </text>
    </comment>
    <comment ref="L54" authorId="2">
      <text>
        <r>
          <rPr>
            <sz val="10"/>
            <rFont val="Arial"/>
            <family val="2"/>
          </rPr>
          <t xml:space="preserve">Olga Rotman:
</t>
        </r>
        <r>
          <rPr>
            <sz val="9"/>
            <color rgb="FF000000"/>
            <rFont val="Tahoma"/>
            <family val="2"/>
            <charset val="1"/>
          </rPr>
          <t xml:space="preserve">עבודה בעמידה
</t>
        </r>
        <r>
          <rPr>
            <b val="true"/>
            <sz val="9"/>
            <color rgb="FF000000"/>
            <rFont val="Tahoma"/>
            <family val="2"/>
            <charset val="1"/>
          </rPr>
          <t xml:space="preserve">Olga Rotman:
</t>
        </r>
        <r>
          <rPr>
            <sz val="9"/>
            <color rgb="FF000000"/>
            <rFont val="Tahoma"/>
            <family val="2"/>
            <charset val="1"/>
          </rPr>
          <t xml:space="preserve">אפשר גם לבוקר
</t>
        </r>
      </text>
    </comment>
    <comment ref="M45" authorId="2">
      <text>
        <r>
          <rPr>
            <sz val="10"/>
            <rFont val="Arial"/>
            <family val="2"/>
          </rPr>
          <t xml:space="preserve">Olga Rotman:
</t>
        </r>
        <r>
          <rPr>
            <sz val="9"/>
            <color rgb="FF000000"/>
            <rFont val="Tahoma"/>
            <family val="2"/>
            <charset val="1"/>
          </rPr>
          <t xml:space="preserve">ללא ניסיון למשמרות- 40 ש"ח לשעה 
עם ניסיון למשמרות - 43-47
עם ניסיון משרת בוקר- 50
</t>
        </r>
      </text>
    </comment>
    <comment ref="N52" authorId="2">
      <text>
        <r>
          <rPr>
            <sz val="10"/>
            <rFont val="Arial"/>
            <family val="2"/>
          </rPr>
          <t xml:space="preserve">Olga Rotman:
</t>
        </r>
        <r>
          <rPr>
            <sz val="9"/>
            <color rgb="FF000000"/>
            <rFont val="Tahoma"/>
            <family val="2"/>
            <charset val="1"/>
          </rPr>
          <t xml:space="preserve">מפעיל סלקטיבי - 1
מפעיל חיתוך - 1
</t>
        </r>
      </text>
    </comment>
    <comment ref="P36" authorId="2">
      <text>
        <r>
          <rPr>
            <sz val="10"/>
            <rFont val="Arial"/>
            <family val="2"/>
          </rPr>
          <t xml:space="preserve">Olga Rotman:
</t>
        </r>
        <r>
          <rPr>
            <sz val="9"/>
            <color rgb="FF000000"/>
            <rFont val="Tahoma"/>
            <family val="2"/>
            <charset val="1"/>
          </rPr>
          <t xml:space="preserve">מנקה אנטיסטטית
</t>
        </r>
      </text>
    </comment>
    <comment ref="S48" authorId="2">
      <text>
        <r>
          <rPr>
            <sz val="10"/>
            <rFont val="Arial"/>
            <family val="2"/>
          </rPr>
          <t xml:space="preserve">Olga Rotman:
</t>
        </r>
        <r>
          <rPr>
            <sz val="9"/>
            <color rgb="FF000000"/>
            <rFont val="Tahoma"/>
            <family val="2"/>
            <charset val="1"/>
          </rPr>
          <t xml:space="preserve">קנבסקי
</t>
        </r>
      </text>
    </comment>
    <comment ref="S57" authorId="2">
      <text>
        <r>
          <rPr>
            <sz val="10"/>
            <rFont val="Arial"/>
            <family val="2"/>
          </rPr>
          <t xml:space="preserve">Olga Rotman:
</t>
        </r>
        <r>
          <rPr>
            <sz val="9"/>
            <color rgb="FF000000"/>
            <rFont val="Tahoma"/>
            <family val="2"/>
            <charset val="1"/>
          </rPr>
          <t xml:space="preserve">טכנאי מעבדה  process support 
דרוש הנדסאי מכונות
עבודה במשמרות
שכר סביב 50 ₪
לשלוח קורות חיים לליאור כהן וליאת נחמיה
</t>
        </r>
      </text>
    </comment>
    <comment ref="W48" authorId="2">
      <text>
        <r>
          <rPr>
            <sz val="10"/>
            <rFont val="Arial"/>
            <family val="2"/>
          </rPr>
          <t xml:space="preserve">Olga Rotman:
</t>
        </r>
        <r>
          <rPr>
            <sz val="9"/>
            <color rgb="FF000000"/>
            <rFont val="Tahoma"/>
            <family val="2"/>
            <charset val="1"/>
          </rPr>
          <t xml:space="preserve">גבריאל סוס
</t>
        </r>
      </text>
    </comment>
    <comment ref="W62" authorId="0">
      <text>
        <r>
          <rPr>
            <sz val="10"/>
            <rFont val="Arial"/>
            <family val="2"/>
          </rPr>
          <t xml:space="preserve">Elena Loskutov (MIG):
</t>
        </r>
        <r>
          <rPr>
            <sz val="9"/>
            <color rgb="FF000000"/>
            <rFont val="Tahoma"/>
            <family val="2"/>
            <charset val="1"/>
          </rPr>
          <t xml:space="preserve">3 בנים למידוף קל לעבודה קבוע (לא מועדפת!!) בוקר + ש"נ 40 ₪ התחלתי
</t>
        </r>
      </text>
    </comment>
    <comment ref="W64" authorId="2">
      <text>
        <r>
          <rPr>
            <sz val="10"/>
            <rFont val="Arial"/>
            <family val="2"/>
          </rPr>
          <t xml:space="preserve">Olga Rotman:
</t>
        </r>
        <r>
          <rPr>
            <sz val="9"/>
            <color rgb="FF000000"/>
            <rFont val="Tahoma"/>
            <family val="2"/>
            <charset val="1"/>
          </rPr>
          <t xml:space="preserve">שכר התחלתי 42 ש"ח
</t>
        </r>
      </text>
    </comment>
    <comment ref="W65" authorId="2">
      <text>
        <r>
          <rPr>
            <sz val="10"/>
            <rFont val="Arial"/>
            <family val="2"/>
          </rPr>
          <t xml:space="preserve">Olga Rotman:
</t>
        </r>
        <r>
          <rPr>
            <sz val="9"/>
            <color rgb="FF000000"/>
            <rFont val="Tahoma"/>
            <family val="2"/>
            <charset val="1"/>
          </rPr>
          <t xml:space="preserve">מחסנאי ל NPI
</t>
        </r>
      </text>
    </comment>
    <comment ref="W66" authorId="2">
      <text>
        <r>
          <rPr>
            <sz val="10"/>
            <rFont val="Arial"/>
            <family val="2"/>
          </rPr>
          <t xml:space="preserve">Olga Rotman:
</t>
        </r>
        <r>
          <rPr>
            <sz val="9"/>
            <color rgb="FF000000"/>
            <rFont val="Tahoma"/>
            <family val="2"/>
            <charset val="1"/>
          </rPr>
          <t xml:space="preserve">מלגזנים
שכר התחלתי 40 ש"ח
</t>
        </r>
      </text>
    </comment>
    <comment ref="W67" authorId="2">
      <text>
        <r>
          <rPr>
            <sz val="10"/>
            <rFont val="Arial"/>
            <family val="2"/>
          </rPr>
          <t xml:space="preserve">Olga Rotman:
</t>
        </r>
        <r>
          <rPr>
            <sz val="9"/>
            <color rgb="FF000000"/>
            <rFont val="Tahoma"/>
            <family val="2"/>
            <charset val="1"/>
          </rPr>
          <t xml:space="preserve">לבני מקונן מקונן יש משרות בוקר+ ש"נ או משמרות 12/12
</t>
        </r>
      </text>
    </comment>
    <comment ref="Y48" authorId="2">
      <text>
        <r>
          <rPr>
            <sz val="10"/>
            <rFont val="Arial"/>
            <family val="2"/>
          </rPr>
          <t xml:space="preserve">Olga Rotman:
</t>
        </r>
        <r>
          <rPr>
            <sz val="9"/>
            <color rgb="FF000000"/>
            <rFont val="Tahoma"/>
            <family val="2"/>
            <charset val="1"/>
          </rPr>
          <t xml:space="preserve">לודים קנבסקי
</t>
        </r>
      </text>
    </comment>
    <comment ref="AA43" authorId="2">
      <text>
        <r>
          <rPr>
            <sz val="10"/>
            <rFont val="Arial"/>
            <family val="2"/>
          </rPr>
          <t xml:space="preserve">Olga Rotman:
</t>
        </r>
        <r>
          <rPr>
            <sz val="9"/>
            <color rgb="FF000000"/>
            <rFont val="Tahoma"/>
            <family val="2"/>
            <charset val="1"/>
          </rPr>
          <t xml:space="preserve">1. חווט מקצועי עדיפות ראשונה .
2. חווט חשמל עדיפות שניה 
3. עובד ללא רקע אך עם נתוני רקע טכני ( יישקל בהתאם לקורות החיים ולראיון העבודה ) 
1. ידע בקריאת שרטוטים מכניים וחשמליים .
2. תקן IPC-620 -יתרון 
3. יכולת עבודה בצוות 
4. ידע בסיסי בעברית ואנגלית 
5. נכונות לעבודה בשעות נוספות .
</t>
        </r>
      </text>
    </comment>
    <comment ref="AC46" authorId="2">
      <text>
        <r>
          <rPr>
            <sz val="10"/>
            <rFont val="Arial"/>
            <family val="2"/>
          </rPr>
          <t xml:space="preserve">Olga Rotman:
</t>
        </r>
        <r>
          <rPr>
            <sz val="9"/>
            <color rgb="FF000000"/>
            <rFont val="Tahoma"/>
            <family val="2"/>
            <charset val="1"/>
          </rPr>
          <t xml:space="preserve">1. היכרות וידע טכני בפעילות יצור ב SMT
2. יכולות הדרכת עובדים, הכשרה וליווי עובדים חדשים וקיימים
3. ניסיון מוכח כמפעיל מכונות וציוד בדיקה ב SMT (DEK, P&amp;P,AOI)
4. היכרות עם מכונות YAMAHA/SIEMENS/DEK 
5. יישום שיפורים בתהליכי העבודה
6. יכולת לימדה עצמאית גבוהה
7. דובר רוסית / קריאה באנגלית טכנית
נ.ב – ציפיות שכר מוכרות, נבחן מידת התאמה ובהתאם אגיש הצעה הוגנת
</t>
        </r>
      </text>
    </comment>
    <comment ref="AC47" authorId="2">
      <text>
        <r>
          <rPr>
            <sz val="10"/>
            <rFont val="Arial"/>
            <family val="2"/>
          </rPr>
          <t xml:space="preserve">Olga Rotman:
</t>
        </r>
        <r>
          <rPr>
            <sz val="9"/>
            <color rgb="FF000000"/>
            <rFont val="Tahoma"/>
            <family val="2"/>
            <charset val="1"/>
          </rPr>
          <t xml:space="preserve">מועמדים מנוסים
• זמינות למשמרות של 12 שעות ונכונות לעבודה בימי שישי / מוצ״ש
• ניסיון בהפעלת קווי SMT
• שכר: 45 ₪ לשעה
* מועמד בעל ניסיון בתחום תמיכה בתהליך – 50 ₪ לשעה
מועמדים ללא ניסיון
• זמינות למשמרות של 12 שעות ונכונות לעבודה בימי שישי / מוצ״ש
• התחייבות לעבודה לטווח ארוך
• גיל: 18–45
• רקע טכני – יתרון
• קריאה באנגלית – חובה | הבנה בסיסית בעברית – יתרון
• שכר: 40 ₪ לשעה
תיאור תמציתי – תפקיד מהנדס/ת תמיכה בתהליך  SMT 
• מתן תמיכה לפתרונות הנדסיים בקווי הייצור
• פתרון תקלות במכונות  SMT
• ייעול ואופטימיזציה של תהליכי ייצור
• עבודה עם תוכנות וממשקי מכונה שונים
• התפקיד מתאים לגברים ולנשים כאחד
</t>
        </r>
      </text>
    </comment>
    <comment ref="AD45" authorId="2">
      <text>
        <r>
          <rPr>
            <sz val="10"/>
            <rFont val="Arial"/>
            <family val="2"/>
          </rPr>
          <t xml:space="preserve">Olga Rotman:
</t>
        </r>
        <r>
          <rPr>
            <sz val="9"/>
            <color rgb="FF000000"/>
            <rFont val="Tahoma"/>
            <family val="2"/>
            <charset val="1"/>
          </rPr>
          <t xml:space="preserve">התחלתי 40 ₪ לשעה
</t>
        </r>
      </text>
    </comment>
    <comment ref="AD55" authorId="2">
      <text>
        <r>
          <rPr>
            <sz val="10"/>
            <rFont val="Arial"/>
            <family val="2"/>
          </rPr>
          <t xml:space="preserve">Olga Rotman:
</t>
        </r>
        <r>
          <rPr>
            <b val="true"/>
            <i val="true"/>
            <sz val="9"/>
            <color rgb="FF000000"/>
            <rFont val="Tahoma"/>
            <family val="2"/>
            <charset val="1"/>
          </rPr>
          <t xml:space="preserve">ידע טוב במחשב
רצוי נסיון
הבנה טכנית
אנגלית הבנת הנקרא חובה
שכר: עד 38 ₪ (ללא נסיון)
</t>
        </r>
      </text>
    </comment>
    <comment ref="AF42" authorId="1">
      <text>
        <r>
          <rPr>
            <sz val="10"/>
            <rFont val="Arial"/>
            <family val="2"/>
          </rPr>
          <t xml:space="preserve">Irena Wasserman (Manpower at Flex):
</t>
        </r>
        <r>
          <rPr>
            <sz val="9"/>
            <color rgb="FF000000"/>
            <rFont val="Tahoma"/>
            <family val="2"/>
            <charset val="1"/>
          </rPr>
          <t xml:space="preserve">דרך רינה
</t>
        </r>
      </text>
    </comment>
    <comment ref="AG42" authorId="2">
      <text>
        <r>
          <rPr>
            <sz val="10"/>
            <rFont val="Arial"/>
            <family val="2"/>
          </rPr>
          <t xml:space="preserve">Olga Rotman:
</t>
        </r>
        <r>
          <rPr>
            <b val="true"/>
            <i val="true"/>
            <sz val="9"/>
            <color rgb="FF000000"/>
            <rFont val="Tahoma"/>
            <family val="2"/>
            <charset val="1"/>
          </rPr>
          <t xml:space="preserve">עד גיל 50
שכר התחלתי 36 ש"ח
Irena Wasserman (Manpower at Flex):
גברים
</t>
        </r>
      </text>
    </comment>
    <comment ref="AH42" authorId="1">
      <text>
        <r>
          <rPr>
            <sz val="10"/>
            <rFont val="Arial"/>
            <family val="2"/>
          </rPr>
          <t xml:space="preserve">Irena Wasserman (Manpower at Flex):
</t>
        </r>
        <r>
          <rPr>
            <sz val="9"/>
            <color rgb="FF000000"/>
            <rFont val="Tahoma"/>
            <family val="2"/>
            <charset val="1"/>
          </rPr>
          <t xml:space="preserve">לא דחוף
</t>
        </r>
      </text>
    </comment>
    <comment ref="AJ42" authorId="1">
      <text>
        <r>
          <rPr>
            <sz val="10"/>
            <rFont val="Arial"/>
            <family val="2"/>
          </rPr>
          <t xml:space="preserve">Irena Wasserman (Manpower at Flex):
</t>
        </r>
        <r>
          <rPr>
            <sz val="9"/>
            <color rgb="FF000000"/>
            <rFont val="Tahoma"/>
            <family val="2"/>
            <charset val="1"/>
          </rPr>
          <t xml:space="preserve">מיסוך חלקים קטנים
נשים
</t>
        </r>
      </text>
    </comment>
    <comment ref="AL31" authorId="2">
      <text>
        <r>
          <rPr>
            <sz val="10"/>
            <rFont val="Arial"/>
            <family val="2"/>
          </rPr>
          <t xml:space="preserve">Olga Rotman:
</t>
        </r>
        <r>
          <rPr>
            <sz val="9"/>
            <color rgb="FF000000"/>
            <rFont val="Tahoma"/>
            <family val="2"/>
            <charset val="1"/>
          </rPr>
          <t xml:space="preserve">אחת בוקר
שתיים משמרות
</t>
        </r>
      </text>
    </comment>
    <comment ref="AN42" authorId="2">
      <text>
        <r>
          <rPr>
            <sz val="10"/>
            <rFont val="Arial"/>
            <family val="2"/>
          </rPr>
          <t xml:space="preserve">Olga Rotman:
</t>
        </r>
        <r>
          <rPr>
            <sz val="9"/>
            <color rgb="FF000000"/>
            <rFont val="Tahoma"/>
            <family val="2"/>
            <charset val="1"/>
          </rPr>
          <t xml:space="preserve">מלחים עם נסיון+ מפעיל מכונה. גבר
</t>
        </r>
      </text>
    </comment>
    <comment ref="AU42" authorId="1">
      <text>
        <r>
          <rPr>
            <sz val="10"/>
            <rFont val="Arial"/>
            <family val="2"/>
          </rPr>
          <t xml:space="preserve">Irena Wasserman (Manpower at Flex):
</t>
        </r>
        <r>
          <rPr>
            <sz val="9"/>
            <color rgb="FF000000"/>
            <rFont val="Tahoma"/>
            <family val="2"/>
            <charset val="1"/>
          </rPr>
          <t xml:space="preserve">בעל נסיון בבקרת תצורה אצל קבלני משנה. שכר 45 ש"ח
</t>
        </r>
      </text>
    </comment>
    <comment ref="AW42" authorId="1">
      <text>
        <r>
          <rPr>
            <sz val="10"/>
            <rFont val="Arial"/>
            <family val="2"/>
          </rPr>
          <t xml:space="preserve">Irena Wasserman (Manpower at Flex):
</t>
        </r>
        <r>
          <rPr>
            <sz val="9"/>
            <color rgb="FF000000"/>
            <rFont val="Tahoma"/>
            <family val="2"/>
            <charset val="1"/>
          </rPr>
          <t xml:space="preserve">בעלת נסיון ברפאל או קבלני משנה שמכירה IPC610
שכר עד 50 ₪ לשלוח קורות חיים
</t>
        </r>
      </text>
    </comment>
  </commentList>
</comments>
</file>

<file path=xl/sharedStrings.xml><?xml version="1.0" encoding="utf-8"?>
<sst xmlns="http://schemas.openxmlformats.org/spreadsheetml/2006/main" count="186" uniqueCount="181">
  <si>
    <t xml:space="preserve">מנהל </t>
  </si>
  <si>
    <t xml:space="preserve">מלחימה</t>
  </si>
  <si>
    <t xml:space="preserve">QC   TU</t>
  </si>
  <si>
    <t xml:space="preserve">QC Mech</t>
  </si>
  <si>
    <t xml:space="preserve">QC </t>
  </si>
  <si>
    <t xml:space="preserve">QC   Pack</t>
  </si>
  <si>
    <t xml:space="preserve">מרכיב</t>
  </si>
  <si>
    <t xml:space="preserve">מריץ</t>
  </si>
  <si>
    <t xml:space="preserve">מריץ ICT/רובוט</t>
  </si>
  <si>
    <t xml:space="preserve">איש חומר</t>
  </si>
  <si>
    <t xml:space="preserve">אורז</t>
  </si>
  <si>
    <t xml:space="preserve">מפעיל SMT</t>
  </si>
  <si>
    <t xml:space="preserve">מפעיל מכונה/ראוטר/חיתוך</t>
  </si>
  <si>
    <t xml:space="preserve">מפעיל FP</t>
  </si>
  <si>
    <t xml:space="preserve">עובד כללי</t>
  </si>
  <si>
    <t xml:space="preserve">Soldering Wave/SET-UP WAVE</t>
  </si>
  <si>
    <t xml:space="preserve">טכנאי  בד"ס</t>
  </si>
  <si>
    <t xml:space="preserve">טכנאי מיטננס</t>
  </si>
  <si>
    <t xml:space="preserve">טכנאי עמדות</t>
  </si>
  <si>
    <t xml:space="preserve">אינטגרטור</t>
  </si>
  <si>
    <t xml:space="preserve">עוזר טכני</t>
  </si>
  <si>
    <t xml:space="preserve">מחסנאי</t>
  </si>
  <si>
    <t xml:space="preserve">עובד אחזקה</t>
  </si>
  <si>
    <t xml:space="preserve">טכנאי אחזקת מכונות</t>
  </si>
  <si>
    <t xml:space="preserve">חשמלאי</t>
  </si>
  <si>
    <t xml:space="preserve">חווט</t>
  </si>
  <si>
    <t xml:space="preserve">מפעיל FP </t>
  </si>
  <si>
    <t xml:space="preserve">תפקיד הנדסי</t>
  </si>
  <si>
    <t xml:space="preserve">מפעיל X-RAY</t>
  </si>
  <si>
    <t xml:space="preserve">מנהל קו</t>
  </si>
  <si>
    <t xml:space="preserve">אחמ"ש</t>
  </si>
  <si>
    <t xml:space="preserve">ציפוי ספריי</t>
  </si>
  <si>
    <t xml:space="preserve">ציפוי ידני</t>
  </si>
  <si>
    <t xml:space="preserve">QC ציפוי</t>
  </si>
  <si>
    <t xml:space="preserve">מיסוך</t>
  </si>
  <si>
    <t xml:space="preserve">QC דבק</t>
  </si>
  <si>
    <t xml:space="preserve">דבק</t>
  </si>
  <si>
    <t xml:space="preserve">קדם ייצור/ FAI</t>
  </si>
  <si>
    <t xml:space="preserve">Rework BGA</t>
  </si>
  <si>
    <t xml:space="preserve">מנהל טכני</t>
  </si>
  <si>
    <t xml:space="preserve">Degrizer Operator</t>
  </si>
  <si>
    <t xml:space="preserve">RMA Coordunator</t>
  </si>
  <si>
    <t xml:space="preserve">Electronics Engineer</t>
  </si>
  <si>
    <t xml:space="preserve">Tech Manager </t>
  </si>
  <si>
    <t xml:space="preserve">Process Support</t>
  </si>
  <si>
    <t xml:space="preserve">Pre Production specialist</t>
  </si>
  <si>
    <t xml:space="preserve">Proccess QA</t>
  </si>
  <si>
    <t xml:space="preserve">QC FINAL</t>
  </si>
  <si>
    <t xml:space="preserve">STS</t>
  </si>
  <si>
    <t xml:space="preserve">QC כבילה</t>
  </si>
  <si>
    <t xml:space="preserve">ארד דליה</t>
  </si>
  <si>
    <t xml:space="preserve">תומר ביטון - 054-3955540</t>
  </si>
  <si>
    <t xml:space="preserve">ACS</t>
  </si>
  <si>
    <t xml:space="preserve">אינה קולישב שאבו - 054-4721965</t>
  </si>
  <si>
    <t xml:space="preserve"> AST</t>
  </si>
  <si>
    <t xml:space="preserve">רועי דיאמונט - 054-3206590//אנטולי ביידר 050-8145068</t>
  </si>
  <si>
    <t xml:space="preserve">Automation AST</t>
  </si>
  <si>
    <t xml:space="preserve">אלכס מילשטיין -  0546412410    / בוריס קזקויץ' -  052-8314612</t>
  </si>
  <si>
    <t xml:space="preserve">Gilat</t>
  </si>
  <si>
    <t xml:space="preserve">אדם דרורי - 054-7374672</t>
  </si>
  <si>
    <t xml:space="preserve">Applied</t>
  </si>
  <si>
    <t xml:space="preserve">איגור שומק - 054-3206142</t>
  </si>
  <si>
    <t xml:space="preserve">Biosence    Tru Pulse     איוון לבדב</t>
  </si>
  <si>
    <t xml:space="preserve">איוון לבדב - 053-4284481 /איתי מורדכי</t>
  </si>
  <si>
    <t xml:space="preserve">Biosence  Pump + QDOT   ודים אוסטרובסקי</t>
  </si>
  <si>
    <t xml:space="preserve">ואדים אוסטרובסקי  -050-714-1787</t>
  </si>
  <si>
    <t xml:space="preserve">Biosence  Ngen  מיכאלה ארונוב</t>
  </si>
  <si>
    <t xml:space="preserve">דניאל פושניאק  – 054-5679715</t>
  </si>
  <si>
    <t xml:space="preserve">Medical (TU)</t>
  </si>
  <si>
    <t xml:space="preserve">לאונל מנשה - 054-3302171</t>
  </si>
  <si>
    <t xml:space="preserve">Motorolla</t>
  </si>
  <si>
    <t xml:space="preserve"> רועי רביב -  054-3302181   / תומר ביטון - 054-3955540</t>
  </si>
  <si>
    <t xml:space="preserve">Camtek</t>
  </si>
  <si>
    <t xml:space="preserve">שגיא ינקוביץ' - 054-2310503</t>
  </si>
  <si>
    <t xml:space="preserve">Cisco+Cognyte </t>
  </si>
  <si>
    <t xml:space="preserve">אנדריי ולסנקו - 052-2301063</t>
  </si>
  <si>
    <t xml:space="preserve">Neuroderm</t>
  </si>
  <si>
    <t xml:space="preserve">יוסי חן - 054-2310317</t>
  </si>
  <si>
    <t xml:space="preserve">Boston, פולוג'ין (בניין גפן)</t>
  </si>
  <si>
    <t xml:space="preserve"> נטלי טרזדרוב - 054-3206095</t>
  </si>
  <si>
    <t xml:space="preserve">Strauss (בניין דקל)</t>
  </si>
  <si>
    <t xml:space="preserve">יוליה גולוצ'אן - / ארז רונן - 054-4814131</t>
  </si>
  <si>
    <t xml:space="preserve">Notal</t>
  </si>
  <si>
    <t xml:space="preserve">אלכס דורפמן - 054-3302154/ אוהד אלבז - 054-3206162</t>
  </si>
  <si>
    <t xml:space="preserve">Orcam</t>
  </si>
  <si>
    <t xml:space="preserve">אוהד אלבז - 054-3206162</t>
  </si>
  <si>
    <t xml:space="preserve">HSL  </t>
  </si>
  <si>
    <t xml:space="preserve">אלי חדד - 054-2310445</t>
  </si>
  <si>
    <t xml:space="preserve">QM/Saveron</t>
  </si>
  <si>
    <t xml:space="preserve">אלי בראון - 0543206014</t>
  </si>
  <si>
    <t xml:space="preserve">Home Skinovation</t>
  </si>
  <si>
    <t xml:space="preserve">רותי יעקובוב - 050-8131308</t>
  </si>
  <si>
    <t xml:space="preserve">HP</t>
  </si>
  <si>
    <t xml:space="preserve">עקיבא נופה - 054-3302162</t>
  </si>
  <si>
    <t xml:space="preserve"> </t>
  </si>
  <si>
    <t xml:space="preserve">Inmode</t>
  </si>
  <si>
    <t xml:space="preserve">עודד אפל - 054-3302168</t>
  </si>
  <si>
    <t xml:space="preserve">Nvidia  NPI</t>
  </si>
  <si>
    <t xml:space="preserve">לאוניד פצ'רסקי  - 050-8550794/סטניסלב זייגרמחר - 052-9432496/ אייל טייברט - 052-708667</t>
  </si>
  <si>
    <t xml:space="preserve">Nvidia  Black Mamba</t>
  </si>
  <si>
    <t xml:space="preserve">אלכס איוונוב - 052-5770674</t>
  </si>
  <si>
    <t xml:space="preserve">Nvidia  - HCA</t>
  </si>
  <si>
    <t xml:space="preserve">לימור וקסלר  (מריצות) 052-4679486 /  ולנטינה גורבנקו - 053-44440840 / טל פרסלני - 054-4791303 /איגור (מראיין מכניקה) - 054-9094609  </t>
  </si>
  <si>
    <t xml:space="preserve">Nvidia RMA  מעבדה </t>
  </si>
  <si>
    <t xml:space="preserve">יבגני אורזולוב - 053-2843260</t>
  </si>
  <si>
    <t xml:space="preserve">Nvidia  SW</t>
  </si>
  <si>
    <t xml:space="preserve">עמית בוגנים - 054-6604115/ לירן גביזון - 054-2310538 / לילך רומנצ'נקו - 054-6665468 </t>
  </si>
  <si>
    <t xml:space="preserve">Nvidia  Juliett   משמרות 12/12</t>
  </si>
  <si>
    <t xml:space="preserve">לירן מורנו - 054-5682666/ גלב  סלובודיור- 053-5492614/דימה פופוב - 050-3116183/ערן זליקוביץ - 050-8350851/ איוון גלזר (מריצים) - 053-3331495/ אלכסיי (מרכיב) - 053-3815407</t>
  </si>
  <si>
    <t xml:space="preserve">Mellanox SFG </t>
  </si>
  <si>
    <t xml:space="preserve">עדן חזן - 054-8085804</t>
  </si>
  <si>
    <t xml:space="preserve">Nvidia  Juliett  משמרת בוקר</t>
  </si>
  <si>
    <t xml:space="preserve">רוני בירוב - </t>
  </si>
  <si>
    <t xml:space="preserve">Nvidia Juliett אנשי חומר</t>
  </si>
  <si>
    <t xml:space="preserve">דוד בן שבת  - 054-4614146</t>
  </si>
  <si>
    <t xml:space="preserve">Nvidia - Rework RMA</t>
  </si>
  <si>
    <t xml:space="preserve">מירי גוטמן 050-9591559</t>
  </si>
  <si>
    <t xml:space="preserve">הנדסת NVIDIA - טכנאי עמדות</t>
  </si>
  <si>
    <t xml:space="preserve">איציק אלמליח (מנהל) - 052-4209671 / דניאל שרמקו - 052-5457202 / מקסים דובוב (מראיין) - 053-2423563 / קובי קוצ'רו - 050-7271969</t>
  </si>
  <si>
    <t xml:space="preserve">Nvidia TEC        ( Juliett)</t>
  </si>
  <si>
    <r>
      <rPr>
        <b val="true"/>
        <sz val="10"/>
        <color rgb="FF000000"/>
        <rFont val="David"/>
        <family val="2"/>
        <charset val="177"/>
      </rPr>
      <t xml:space="preserve">מראיין </t>
    </r>
    <r>
      <rPr>
        <b val="true"/>
        <sz val="10"/>
        <color rgb="FFFF0000"/>
        <rFont val="David"/>
        <family val="2"/>
        <charset val="1"/>
      </rPr>
      <t xml:space="preserve">עומר אומרוב</t>
    </r>
    <r>
      <rPr>
        <b val="true"/>
        <sz val="10"/>
        <color rgb="FF000000"/>
        <rFont val="David"/>
        <family val="2"/>
        <charset val="177"/>
      </rPr>
      <t xml:space="preserve"> , לרשום תחת  </t>
    </r>
    <r>
      <rPr>
        <b val="true"/>
        <sz val="10"/>
        <color rgb="FFFF0000"/>
        <rFont val="David"/>
        <family val="2"/>
        <charset val="1"/>
      </rPr>
      <t xml:space="preserve">ירדן לנגבורד</t>
    </r>
  </si>
  <si>
    <t xml:space="preserve">Nvidia TEC        (SW)</t>
  </si>
  <si>
    <r>
      <rPr>
        <b val="true"/>
        <sz val="10"/>
        <color rgb="FF000000"/>
        <rFont val="David"/>
        <family val="2"/>
        <charset val="177"/>
      </rPr>
      <t xml:space="preserve">יבגני זוסמן - 050-5882440/</t>
    </r>
    <r>
      <rPr>
        <b val="true"/>
        <sz val="10"/>
        <color rgb="FFFF0000"/>
        <rFont val="David"/>
        <family val="2"/>
        <charset val="1"/>
      </rPr>
      <t xml:space="preserve">יוסי חן  - 054-2310317</t>
    </r>
    <r>
      <rPr>
        <b val="true"/>
        <sz val="10"/>
        <color rgb="FF000000"/>
        <rFont val="David"/>
        <family val="2"/>
        <charset val="177"/>
      </rPr>
      <t xml:space="preserve">/ אנסטסיה - 054-2500349 / ולריה סזונוב - 058-7878141/ זוהר בלקין - 052-4240415</t>
    </r>
  </si>
  <si>
    <t xml:space="preserve">מחסן    Nvidia  </t>
  </si>
  <si>
    <t xml:space="preserve">אדם אלפסי - 0502655730</t>
  </si>
  <si>
    <t xml:space="preserve">        </t>
  </si>
  <si>
    <t xml:space="preserve">הנדסת תהליך</t>
  </si>
  <si>
    <t xml:space="preserve">ולדימיר גרודסקי  054-2310327</t>
  </si>
  <si>
    <t xml:space="preserve">Process Support </t>
  </si>
  <si>
    <t xml:space="preserve">מרט חונונוב - 053-7551299</t>
  </si>
  <si>
    <t xml:space="preserve">אחזקת בניין</t>
  </si>
  <si>
    <t xml:space="preserve">סרגיי ספיבק - 0542310439</t>
  </si>
  <si>
    <t xml:space="preserve">Rafael</t>
  </si>
  <si>
    <t xml:space="preserve">אילן גונן - 052-8432320/אלכס דקין - 054-3206128</t>
  </si>
  <si>
    <t xml:space="preserve">Rafael כבלים</t>
  </si>
  <si>
    <t xml:space="preserve"> רוני בלום - 054-9997446</t>
  </si>
  <si>
    <t xml:space="preserve">רון ארליך - /ולדימיר יארוסלב - 054-3206103</t>
  </si>
  <si>
    <t xml:space="preserve">SMT</t>
  </si>
  <si>
    <t xml:space="preserve">מקסים ליכוביץ' - 054-3302194</t>
  </si>
  <si>
    <t xml:space="preserve">SET-UP</t>
  </si>
  <si>
    <t xml:space="preserve">SMT מהנדסים</t>
  </si>
  <si>
    <t xml:space="preserve">פנצ'נקו איגור - 0543206837 </t>
  </si>
  <si>
    <t xml:space="preserve">SMT3</t>
  </si>
  <si>
    <t xml:space="preserve">גבריאל סוס - 0549420720 /ודים קנבסקי-054-3206419</t>
  </si>
  <si>
    <t xml:space="preserve">SMT4</t>
  </si>
  <si>
    <t xml:space="preserve">רוסלן גוצוליאק - 054-2310385</t>
  </si>
  <si>
    <t xml:space="preserve">Termofisher + נטפים</t>
  </si>
  <si>
    <t xml:space="preserve">אורטל בן מויאל - 054-3206084</t>
  </si>
  <si>
    <t xml:space="preserve">KLA</t>
  </si>
  <si>
    <t xml:space="preserve">רותם פלד - 050-7989290</t>
  </si>
  <si>
    <t xml:space="preserve">ייצור משלים</t>
  </si>
  <si>
    <t xml:space="preserve">יונתן גוטליב 054-3206271  לוי אוחנה - 052-5482229</t>
  </si>
  <si>
    <t xml:space="preserve">כללי1 (Allot,Intel,FlyingPro)</t>
  </si>
  <si>
    <t xml:space="preserve">אבי קדוש 052-3637972</t>
  </si>
  <si>
    <t xml:space="preserve">Apple</t>
  </si>
  <si>
    <t xml:space="preserve">אלדד כהן - 054-2423801/ יגאל גולובנוב - 053-3380177</t>
  </si>
  <si>
    <t xml:space="preserve">כללי3</t>
  </si>
  <si>
    <t xml:space="preserve">אלדד כהן - 054-2423801</t>
  </si>
  <si>
    <t xml:space="preserve">שינוע (דקל)</t>
  </si>
  <si>
    <t xml:space="preserve"> אלכס רוטמן - 054-3206026</t>
  </si>
  <si>
    <t xml:space="preserve">מחלקה טכנולוגית</t>
  </si>
  <si>
    <t xml:space="preserve">ליאור כהן</t>
  </si>
  <si>
    <t xml:space="preserve">קורס הלחמה/מבקרי איכות</t>
  </si>
  <si>
    <t xml:space="preserve">זיריק לדיז'ינסקי-054-3206141/אולגה-054-7382237</t>
  </si>
  <si>
    <t xml:space="preserve">סה"כ ייצור</t>
  </si>
  <si>
    <t xml:space="preserve">ביקורת קבלה - מבקרים</t>
  </si>
  <si>
    <t xml:space="preserve">ברק פריש - 0524290723</t>
  </si>
  <si>
    <t xml:space="preserve">מחסן SMT</t>
  </si>
  <si>
    <t xml:space="preserve"> תמיר בזנוס - 054-3206802</t>
  </si>
  <si>
    <t xml:space="preserve">מחסן מידוף קל</t>
  </si>
  <si>
    <t xml:space="preserve">מחסן קאנבן  NVIDIA</t>
  </si>
  <si>
    <t xml:space="preserve">מקסים  כהן -  054-3206807</t>
  </si>
  <si>
    <t xml:space="preserve">מחסן תוצ"ג</t>
  </si>
  <si>
    <t xml:space="preserve">מקסים כהן - 054-3206807</t>
  </si>
  <si>
    <t xml:space="preserve">מחסן קידמי ייצור</t>
  </si>
  <si>
    <t xml:space="preserve">מחסן מידוף כבד</t>
  </si>
  <si>
    <t xml:space="preserve"> יוסי ואנונו - 054-5933477</t>
  </si>
  <si>
    <t xml:space="preserve">   </t>
  </si>
  <si>
    <t xml:space="preserve">ביקורת קבלה</t>
  </si>
  <si>
    <t xml:space="preserve">בני מקונן- 054-3206129</t>
  </si>
  <si>
    <t xml:space="preserve">סה"כ מחסנים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</si>
</sst>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/d/yyyy"/>
  </numFmts>
  <fonts count="29">
    <font>
      <sz val="11"/>
      <color theme="1"/>
      <name val="Arial"/>
      <family val="2"/>
      <charset val="177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David"/>
      <family val="2"/>
      <charset val="177"/>
    </font>
    <font>
      <b val="true"/>
      <sz val="12"/>
      <color rgb="FF000000"/>
      <name val="David"/>
      <family val="2"/>
      <charset val="177"/>
    </font>
    <font>
      <b val="true"/>
      <sz val="10"/>
      <color rgb="FF000000"/>
      <name val="David"/>
      <family val="2"/>
      <charset val="177"/>
    </font>
    <font>
      <b val="true"/>
      <sz val="10"/>
      <name val="David"/>
      <family val="2"/>
      <charset val="177"/>
    </font>
    <font>
      <b val="true"/>
      <sz val="11"/>
      <color rgb="FF000000"/>
      <name val="David"/>
      <family val="2"/>
      <charset val="177"/>
    </font>
    <font>
      <sz val="10"/>
      <color rgb="FF000000"/>
      <name val="David"/>
      <family val="2"/>
      <charset val="177"/>
    </font>
    <font>
      <b val="true"/>
      <sz val="11"/>
      <name val="David"/>
      <family val="2"/>
      <charset val="177"/>
    </font>
    <font>
      <b val="true"/>
      <sz val="12"/>
      <name val="David"/>
      <family val="2"/>
      <charset val="177"/>
    </font>
    <font>
      <sz val="10"/>
      <name val="David"/>
      <family val="2"/>
      <charset val="177"/>
    </font>
    <font>
      <sz val="11"/>
      <name val="David"/>
      <family val="2"/>
      <charset val="177"/>
    </font>
    <font>
      <i val="true"/>
      <sz val="11"/>
      <name val="David"/>
      <family val="2"/>
      <charset val="177"/>
    </font>
    <font>
      <b val="true"/>
      <sz val="14"/>
      <name val="David"/>
      <family val="2"/>
      <charset val="177"/>
    </font>
    <font>
      <b val="true"/>
      <sz val="10"/>
      <color rgb="FFFF0000"/>
      <name val="David"/>
      <family val="2"/>
      <charset val="1"/>
    </font>
    <font>
      <sz val="12"/>
      <name val="David"/>
      <family val="2"/>
      <charset val="177"/>
    </font>
    <font>
      <b val="true"/>
      <sz val="11"/>
      <color rgb="FFD9D9D9"/>
      <name val="David"/>
      <family val="2"/>
      <charset val="177"/>
    </font>
    <font>
      <b val="true"/>
      <sz val="11"/>
      <color rgb="FFFF0000"/>
      <name val="David"/>
      <family val="2"/>
      <charset val="177"/>
    </font>
    <font>
      <b val="true"/>
      <sz val="12"/>
      <color rgb="FF44546A"/>
      <name val="David"/>
      <family val="2"/>
      <charset val="177"/>
    </font>
    <font>
      <b val="true"/>
      <sz val="14"/>
      <color rgb="FF000000"/>
      <name val="David"/>
      <family val="2"/>
      <charset val="177"/>
    </font>
    <font>
      <b val="true"/>
      <sz val="16"/>
      <color rgb="FF000000"/>
      <name val="David"/>
      <family val="2"/>
      <charset val="177"/>
    </font>
    <font>
      <sz val="10"/>
      <name val="Arial"/>
      <family val="2"/>
    </font>
    <font>
      <sz val="9"/>
      <color rgb="FF000000"/>
      <name val="Tahoma"/>
      <family val="2"/>
      <charset val="1"/>
    </font>
    <font>
      <b val="true"/>
      <i val="true"/>
      <sz val="9"/>
      <color rgb="FF000000"/>
      <name val="Tahoma"/>
      <family val="2"/>
      <charset val="1"/>
    </font>
    <font>
      <b val="true"/>
      <sz val="9"/>
      <color rgb="FF000000"/>
      <name val="Tahoma"/>
      <family val="2"/>
      <charset val="1"/>
    </font>
    <font>
      <sz val="11"/>
      <name val="Arial"/>
      <family val="2"/>
      <charset val="177"/>
    </font>
    <font>
      <sz val="11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DDEBF7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</fills>
  <borders count="51">
    <border diagonalUp="false" diagonalDown="false">
      <left/>
      <right/>
      <top/>
      <bottom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/>
      <top style="medium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/>
      <top/>
      <bottom style="thin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/>
      <top style="thin"/>
      <bottom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/>
      <right style="thin"/>
      <top style="medium"/>
      <bottom style="medium"/>
      <diagonal/>
    </border>
    <border diagonalUp="false" diagonalDown="false">
      <left style="thin"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center" textRotation="0" wrapText="true" indent="0" shrinkToFit="false" readingOrder="2"/>
      <protection locked="true" hidden="false"/>
    </xf>
    <xf numFmtId="164" fontId="7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3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6" fillId="0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0" borderId="5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3" borderId="6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6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3" borderId="1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1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1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1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2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2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2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1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2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3" borderId="1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2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2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1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2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3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3" borderId="1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2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1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1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2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1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6" xfId="0" applyFont="true" applyBorder="true" applyAlignment="true" applyProtection="true">
      <alignment horizontal="right" vertical="top" textRotation="0" wrapText="false" indent="0" shrinkToFit="false"/>
      <protection locked="true" hidden="false"/>
    </xf>
    <xf numFmtId="164" fontId="7" fillId="0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16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6" fillId="3" borderId="16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6" fillId="3" borderId="16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17" fillId="0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6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8" fillId="5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3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1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4" borderId="2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4" borderId="1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2" borderId="1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4" borderId="1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1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4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2" borderId="1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6" xfId="0" applyFont="true" applyBorder="true" applyAlignment="true" applyProtection="true">
      <alignment horizontal="right" vertical="center" textRotation="0" wrapText="false" indent="0" shrinkToFit="false" readingOrder="2"/>
      <protection locked="true" hidden="false"/>
    </xf>
    <xf numFmtId="165" fontId="6" fillId="0" borderId="16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7" fillId="0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2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2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2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2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2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3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3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4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3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3" borderId="3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3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3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3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3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3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3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3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4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4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4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4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4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4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4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4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4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4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4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2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16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6" fillId="6" borderId="4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7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9" fillId="0" borderId="2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2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2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2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2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2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4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2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4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4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2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4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4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4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3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50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44546A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<Relationship Id="rId5" Type="http://schemas.openxmlformats.org/officeDocument/2006/relationships/usernames" Target="revisions/userNames.xml"/><Relationship Id="rId6" Type="http://schemas.openxmlformats.org/officeDocument/2006/relationships/revisionHeaders" Target="revisions/revisionHeaders.xml"/>
</Relationships>
</file>

<file path=xl/revisions/_rels/revisionHeaders.xml.rels><?xml version="1.0" encoding="UTF-8"?>
<Relationships xmlns="http://schemas.openxmlformats.org/package/2006/relationships"><Relationship Id="rId1" Type="http://schemas.openxmlformats.org/officeDocument/2006/relationships/revisionLog" Target="revisionLog1.xml"/><Relationship Id="rId2" Type="http://schemas.openxmlformats.org/officeDocument/2006/relationships/revisionLog" Target="revisionLog2.xml"/><Relationship Id="rId3" Type="http://schemas.openxmlformats.org/officeDocument/2006/relationships/revisionLog" Target="revisionLog3.xml"/><Relationship Id="rId4" Type="http://schemas.openxmlformats.org/officeDocument/2006/relationships/revisionLog" Target="revisionLog4.xml"/><Relationship Id="rId5" Type="http://schemas.openxmlformats.org/officeDocument/2006/relationships/revisionLog" Target="revisionLog5.xml"/><Relationship Id="rId6" Type="http://schemas.openxmlformats.org/officeDocument/2006/relationships/revisionLog" Target="revisionLog6.xml"/><Relationship Id="rId7" Type="http://schemas.openxmlformats.org/officeDocument/2006/relationships/revisionLog" Target="revisionLog7.xml"/><Relationship Id="rId8" Type="http://schemas.openxmlformats.org/officeDocument/2006/relationships/revisionLog" Target="revisionLog8.xml"/><Relationship Id="rId9" Type="http://schemas.openxmlformats.org/officeDocument/2006/relationships/revisionLog" Target="revisionLog9.xml"/><Relationship Id="rId10" Type="http://schemas.openxmlformats.org/officeDocument/2006/relationships/revisionLog" Target="revisionLog10.xml"/><Relationship Id="rId11" Type="http://schemas.openxmlformats.org/officeDocument/2006/relationships/revisionLog" Target="revisionLog11.xml"/><Relationship Id="rId12" Type="http://schemas.openxmlformats.org/officeDocument/2006/relationships/revisionLog" Target="revisionLog12.xml"/>
</Relationships>
</file>

<file path=xl/revisions/revisionHeaders.xml><?xml version="1.0" encoding="utf-8"?>
<headers xmlns="http://schemas.openxmlformats.org/spreadsheetml/2006/main" xmlns:r="http://schemas.openxmlformats.org/officeDocument/2006/relationships" guid="{3A1C42ED-840B-41E4-8CCD-512AEDD3A941}">
  <header guid="{0792D77E-E636-48B8-BBA2-F2A5E67B1373}" dateTime="2026-03-02T14:48:00.000000000Z" userName="Olga Rotman" r:id="rId1" minRId="1" maxRId="1" maxSheetId="2">
    <sheetIdMap count="1">
      <sheetId val="1"/>
    </sheetIdMap>
  </header>
  <header guid="{C1CCE742-C799-49BE-BE23-0F542AE23F5E}" dateTime="2026-03-02T10:44:00.000000000Z" userName="Olga Rotman" r:id="rId2" minRId="2" maxRId="55" maxSheetId="2">
    <sheetIdMap count="1">
      <sheetId val="1"/>
    </sheetIdMap>
  </header>
  <header guid="{306C1554-35B1-4544-9C48-9BDA67BF8770}" dateTime="2026-03-03T15:29:00.000000000Z" userName="Olga Rotman" r:id="rId3" minRId="56" maxRId="62" maxSheetId="2">
    <sheetIdMap count="1">
      <sheetId val="1"/>
    </sheetIdMap>
  </header>
  <header guid="{1A97388F-BC76-46E1-8371-72AD2ABE8C0B}" dateTime="2026-03-03T16:17:00.000000000Z" userName="Olga Rotman" r:id="rId4" minRId="63" maxRId="63" maxSheetId="2">
    <sheetIdMap count="1">
      <sheetId val="1"/>
    </sheetIdMap>
  </header>
  <header guid="{AE787DDD-DFF3-4852-B9F6-C0594BBBAFDF}" dateTime="2026-02-19T14:50:00.000000000Z" userName="Kseniya Kholmogorova" r:id="rId5" minRId="64" maxRId="64" maxSheetId="2">
    <sheetIdMap count="1">
      <sheetId val="1"/>
    </sheetIdMap>
  </header>
  <header guid="{05A406B9-4678-4D43-9773-53EEC27B305C}" dateTime="2026-02-19T14:51:00.000000000Z" userName="Olga Rotman" r:id="rId6" minRId="65" maxRId="66" maxSheetId="2">
    <sheetIdMap count="1">
      <sheetId val="1"/>
    </sheetIdMap>
  </header>
  <header guid="{36AF9DF0-13CC-402D-90BD-AF41F9C38282}" dateTime="2026-02-19T14:51:00.000000000Z" userName="Kseniya Kholmogorova" r:id="rId7" minRId="67" maxRId="67" maxSheetId="2">
    <sheetIdMap count="1">
      <sheetId val="1"/>
    </sheetIdMap>
  </header>
  <header guid="{CC042AF4-40EE-4058-A3AC-1F1D12070600}" dateTime="2026-02-22T12:03:00.000000000Z" userName="Olga Rotman" r:id="rId8" minRId="68" maxRId="70" maxSheetId="2">
    <sheetIdMap count="1">
      <sheetId val="1"/>
    </sheetIdMap>
  </header>
  <header guid="{81182C73-B40C-45BB-BADD-902D4D2D6B2B}" dateTime="2026-02-23T14:11:00.000000000Z" userName="Olga Rotman" r:id="rId9" minRId="71" maxRId="122" maxSheetId="2">
    <sheetIdMap count="1">
      <sheetId val="1"/>
    </sheetIdMap>
  </header>
  <header guid="{585487EE-6162-4250-AE8F-742E19880941}" dateTime="2026-02-26T13:58:00.000000000Z" userName="Olga Rotman" r:id="rId10" minRId="123" maxRId="128" maxSheetId="2">
    <sheetIdMap count="1">
      <sheetId val="1"/>
    </sheetIdMap>
  </header>
  <header guid="{EF376DD8-A447-4FCD-A697-8A69AB024155}" dateTime="2026-03-12T17:02:00.000000000Z" userName="Unknown Author" r:id="rId11" minRId="129" maxRId="129" maxSheetId="2">
    <sheetIdMap count="1">
      <sheetId val="1"/>
    </sheetIdMap>
  </header>
  <header guid="{3A1C42ED-840B-41E4-8CCD-512AEDD3A941}" dateTime="2026-03-12T17:08:00.000000000Z" userName="Unknown Author" r:id="rId12" minRId="130" maxRId="131" maxSheetId="2">
    <sheetIdMap count="1">
      <sheetId val="1"/>
    </sheetIdMap>
  </header>
</headers>
</file>

<file path=xl/revisions/revisionLog1.xml><?xml version="1.0" encoding="utf-8"?>
<revisions xmlns="http://schemas.openxmlformats.org/spreadsheetml/2006/main" xmlns:r="http://schemas.openxmlformats.org/officeDocument/2006/relationships">
  <rcc rId="1" ua="false" sId="1">
    <oc r="H13" t="n">
      <v>3</v>
    </oc>
    <nc r="H13" t="n">
      <v>2</v>
    </nc>
  </rcc>
</revisions>
</file>

<file path=xl/revisions/revisionLog2.xml><?xml version="1.0" encoding="utf-8"?>
<revisions xmlns="http://schemas.openxmlformats.org/spreadsheetml/2006/main" xmlns:r="http://schemas.openxmlformats.org/officeDocument/2006/relationships">
  <rcc rId="2" ua="false" sId="1">
    <oc r="B8" t="inlineStr">
      <is>
        <r>
          <rPr>
            <sz val="11"/>
            <rFont val="Arial"/>
            <family val="2"/>
            <charset val="177"/>
          </rPr>
          <t xml:space="preserve">איוון לבדב - </t>
        </r>
        <r>
          <rPr>
            <sz val="11"/>
            <rFont val="Calibri"/>
            <family val="0"/>
            <charset val="1"/>
          </rPr>
          <t xml:space="preserve">053-4284481 / דמיטרי פודולסקי - 054-8132580</t>
        </r>
      </is>
    </oc>
    <nc r="B8" t="inlineStr">
      <is>
        <r>
          <rPr>
            <sz val="11"/>
            <rFont val="Arial"/>
            <family val="2"/>
            <charset val="177"/>
          </rPr>
          <t xml:space="preserve">איוון לבדב - </t>
        </r>
        <r>
          <rPr>
            <sz val="11"/>
            <rFont val="Calibri"/>
            <family val="0"/>
            <charset val="1"/>
          </rPr>
          <t xml:space="preserve">053-4284481 /איתי מורדכי</t>
        </r>
      </is>
    </nc>
  </rcc>
  <rcc rId="3" ua="false" sId="1">
    <oc r="K13" t="n">
      <v>1</v>
    </oc>
    <nc r="K13"/>
  </rcc>
  <rcc rId="4" ua="false" sId="1">
    <oc r="R21" t="n">
      <v>1</v>
    </oc>
    <nc r="R21"/>
  </rcc>
  <rcc rId="5" ua="false" sId="1">
    <oc r="N52" t="n">
      <v>2</v>
    </oc>
    <nc r="N52" t="n">
      <v>5</v>
    </nc>
  </rcc>
  <rcc rId="6" ua="false" sId="1">
    <oc r="H52" t="n">
      <v>4</v>
    </oc>
    <nc r="H52" t="n">
      <v>6</v>
    </nc>
  </rcc>
  <rcc rId="7" ua="false" sId="1">
    <oc r="C68" t="n">
      <f>SUM(C60:C67)</f>
    </oc>
    <nc r="C68" t="n">
      <f>SUM(C60:C67)</f>
    </nc>
  </rcc>
  <rcc rId="8" ua="false" sId="1">
    <oc r="D68" t="n">
      <f>SUM(D60:D67)</f>
    </oc>
    <nc r="D68" t="n">
      <f>SUM(D60:D67)</f>
    </nc>
  </rcc>
  <rcc rId="9" ua="false" sId="1">
    <oc r="E68" t="n">
      <f>SUM(E60:E67)</f>
    </oc>
    <nc r="E68" t="n">
      <f>SUM(E60:E67)</f>
    </nc>
  </rcc>
  <rcc rId="10" ua="false" sId="1">
    <oc r="F68" t="n">
      <f>SUM(F60:F67)</f>
    </oc>
    <nc r="F68" t="n">
      <f>SUM(F60:F67)</f>
    </nc>
  </rcc>
  <rcc rId="11" ua="false" sId="1">
    <oc r="G68" t="n">
      <f>SUM(G60:G67)</f>
    </oc>
    <nc r="G68" t="n">
      <f>SUM(G60:G67)</f>
    </nc>
  </rcc>
  <rcc rId="12" ua="false" sId="1">
    <oc r="H68" t="n">
      <f>SUM(H60:H67)</f>
    </oc>
    <nc r="H68" t="n">
      <f>SUM(H60:H67)</f>
    </nc>
  </rcc>
  <rcc rId="13" ua="false" sId="1">
    <oc r="I68" t="n">
      <f>SUM(I60:I67)</f>
    </oc>
    <nc r="I68" t="n">
      <f>SUM(I60:I67)</f>
    </nc>
  </rcc>
  <rcc rId="14" ua="false" sId="1">
    <oc r="J68" t="n">
      <f>SUM(J60:J67)</f>
    </oc>
    <nc r="J68" t="n">
      <f>SUM(J60:J67)</f>
    </nc>
  </rcc>
  <rcc rId="15" ua="false" sId="1">
    <oc r="K68" t="n">
      <f>SUM(K60:K67)</f>
    </oc>
    <nc r="K68" t="n">
      <f>SUM(K60:K67)</f>
    </nc>
  </rcc>
  <rcc rId="16" ua="false" sId="1">
    <oc r="L68" t="n">
      <f>SUM(L60:L67)</f>
    </oc>
    <nc r="L68" t="n">
      <f>SUM(L60:L67)</f>
    </nc>
  </rcc>
  <rcc rId="17" ua="false" sId="1">
    <oc r="M68" t="n">
      <f>SUM(M60:M67)</f>
    </oc>
    <nc r="M68" t="n">
      <f>SUM(M60:M67)</f>
    </nc>
  </rcc>
  <rcc rId="18" ua="false" sId="1">
    <oc r="N68" t="n">
      <f>SUM(N60:N67)</f>
    </oc>
    <nc r="N68" t="n">
      <f>SUM(N60:N67)</f>
    </nc>
  </rcc>
  <rcc rId="19" ua="false" sId="1">
    <oc r="O68" t="n">
      <f>SUM(O60:O67)</f>
    </oc>
    <nc r="O68" t="n">
      <f>SUM(O60:O67)</f>
    </nc>
  </rcc>
  <rcc rId="20" ua="false" sId="1">
    <nc r="P68" t="n">
      <f>SUM(P60:P67)</f>
    </nc>
  </rcc>
  <rcc rId="21" ua="false" sId="1">
    <oc r="Q68" t="n">
      <f>SUM(Q60:Q67)</f>
    </oc>
    <nc r="Q68" t="n">
      <f>SUM(Q60:Q67)</f>
    </nc>
  </rcc>
  <rcc rId="22" ua="false" sId="1">
    <oc r="R68" t="n">
      <f>SUM(R60:R67)</f>
    </oc>
    <nc r="R68" t="n">
      <f>SUM(R60:R67)</f>
    </nc>
  </rcc>
  <rcc rId="23" ua="false" sId="1">
    <oc r="S68" t="n">
      <f>SUM(S60:S67)</f>
    </oc>
    <nc r="S68" t="n">
      <f>SUM(S60:S67)</f>
    </nc>
  </rcc>
  <rcc rId="24" ua="false" sId="1">
    <oc r="T68" t="n">
      <f>SUM(T60:T67)</f>
    </oc>
    <nc r="T68" t="n">
      <f>SUM(T60:T67)</f>
    </nc>
  </rcc>
  <rcc rId="25" ua="false" sId="1">
    <oc r="U68" t="n">
      <f>SUM(U60:U67)</f>
    </oc>
    <nc r="U68" t="n">
      <f>SUM(U60:U67)</f>
    </nc>
  </rcc>
  <rcc rId="26" ua="false" sId="1">
    <nc r="V68" t="n">
      <f>SUM(V60:V67)</f>
    </nc>
  </rcc>
  <rcc rId="27" ua="false" sId="1">
    <oc r="W68" t="n">
      <f>SUM(W60:W67)</f>
    </oc>
    <nc r="W68" t="n">
      <f>SUM(W60:W67)</f>
    </nc>
  </rcc>
  <rcc rId="28" ua="false" sId="1">
    <oc r="X68" t="n">
      <f>SUM(X60:X67)</f>
    </oc>
    <nc r="X68" t="n">
      <f>SUM(X60:X67)</f>
    </nc>
  </rcc>
  <rcc rId="29" ua="false" sId="1">
    <oc r="Y68" t="n">
      <f>SUM(Y61:Y67)</f>
    </oc>
    <nc r="Y68" t="n">
      <f>SUM(Y60:Y67)</f>
    </nc>
  </rcc>
  <rcc rId="30" ua="false" sId="1">
    <oc r="Z68" t="n">
      <f>SUM(Z60:Z67)</f>
    </oc>
    <nc r="Z68" t="n">
      <f>SUM(Z60:Z67)</f>
    </nc>
  </rcc>
  <rcc rId="31" ua="false" sId="1">
    <oc r="AA68" t="n">
      <f>SUM(AA60:AA67)</f>
    </oc>
    <nc r="AA68" t="n">
      <f>SUM(AA60:AA67)</f>
    </nc>
  </rcc>
  <rcc rId="32" ua="false" sId="1">
    <oc r="AB68" t="n">
      <f>SUM(AB60:AB67)</f>
    </oc>
    <nc r="AB68" t="n">
      <f>SUM(AB60:AB67)</f>
    </nc>
  </rcc>
  <rcc rId="33" ua="false" sId="1">
    <oc r="AC68" t="n">
      <f>SUM(AC60:AC67)</f>
    </oc>
    <nc r="AC68" t="n">
      <f>SUM(AC60:AC67)</f>
    </nc>
  </rcc>
  <rcc rId="34" ua="false" sId="1">
    <oc r="AD68" t="n">
      <f>SUM(AD60:AD67)</f>
    </oc>
    <nc r="AD68" t="n">
      <f>SUM(AD60:AD67)</f>
    </nc>
  </rcc>
  <rcc rId="35" ua="false" sId="1">
    <nc r="AE68" t="n">
      <f>SUM(AE60:AE67)</f>
    </nc>
  </rcc>
  <rcc rId="36" ua="false" sId="1">
    <oc r="AF68" t="n">
      <f>SUM(AF60:AF67)</f>
    </oc>
    <nc r="AF68" t="n">
      <f>SUM(AF60:AF67)</f>
    </nc>
  </rcc>
  <rcc rId="37" ua="false" sId="1">
    <oc r="AG68" t="n">
      <f>SUM(AG60:AG67)</f>
    </oc>
    <nc r="AG68" t="n">
      <f>SUM(AG60:AG67)</f>
    </nc>
  </rcc>
  <rcc rId="38" ua="false" sId="1">
    <oc r="AH68" t="n">
      <f>SUM(AH60:AH67)</f>
    </oc>
    <nc r="AH68" t="n">
      <f>SUM(AH60:AH67)</f>
    </nc>
  </rcc>
  <rcc rId="39" ua="false" sId="1">
    <oc r="AI68" t="n">
      <f>SUM(AI60:AI67)</f>
    </oc>
    <nc r="AI68" t="n">
      <f>SUM(AI60:AI67)</f>
    </nc>
  </rcc>
  <rcc rId="40" ua="false" sId="1">
    <oc r="AJ68" t="n">
      <f>SUM(AJ60:AJ67)</f>
    </oc>
    <nc r="AJ68" t="n">
      <f>SUM(AJ60:AJ67)</f>
    </nc>
  </rcc>
  <rcc rId="41" ua="false" sId="1">
    <oc r="AK68" t="n">
      <f>SUM(AK60:AK67)</f>
    </oc>
    <nc r="AK68" t="n">
      <f>SUM(AK60:AK67)</f>
    </nc>
  </rcc>
  <rcc rId="42" ua="false" sId="1">
    <oc r="AL68" t="n">
      <f>SUM(AL60:AL67)</f>
    </oc>
    <nc r="AL68" t="n">
      <f>SUM(AL60:AL67)</f>
    </nc>
  </rcc>
  <rcc rId="43" ua="false" sId="1">
    <oc r="AM68" t="n">
      <f>SUM(AM60:AM67)</f>
    </oc>
    <nc r="AM68" t="n">
      <f>SUM(AM60:AM67)</f>
    </nc>
  </rcc>
  <rcc rId="44" ua="false" sId="1">
    <nc r="AN68" t="n">
      <f>SUM(AN60:AN67)</f>
    </nc>
  </rcc>
  <rcc rId="45" ua="false" sId="1">
    <nc r="AO68" t="n">
      <f>SUM(AO60:AO67)</f>
    </nc>
  </rcc>
  <rcc rId="46" ua="false" sId="1">
    <oc r="AP68" t="n">
      <f>SUM(AP60:AP67)</f>
    </oc>
    <nc r="AP68" t="n">
      <f>SUM(AP60:AP67)</f>
    </nc>
  </rcc>
  <rcc rId="47" ua="false" sId="1">
    <oc r="AQ68" t="n">
      <f>SUM(AQ60:AQ67)</f>
    </oc>
    <nc r="AQ68" t="n">
      <f>SUM(AQ60:AQ67)</f>
    </nc>
  </rcc>
  <rcc rId="48" ua="false" sId="1">
    <nc r="AR68" t="n">
      <f>SUM(AR60:AR67)</f>
    </nc>
  </rcc>
  <rcc rId="49" ua="false" sId="1">
    <oc r="AS68" t="n">
      <f>SUM(AS60:AS67)</f>
    </oc>
    <nc r="AS68" t="n">
      <f>SUM(AS60:AS67)</f>
    </nc>
  </rcc>
  <rcc rId="50" ua="false" sId="1">
    <oc r="AT68" t="n">
      <f>SUM(AT60:AT67)</f>
    </oc>
    <nc r="AT68" t="n">
      <f>SUM(AT60:AT67)</f>
    </nc>
  </rcc>
  <rcc rId="51" ua="false" sId="1">
    <oc r="AU68" t="n">
      <f>SUM(AU60:AU67)</f>
    </oc>
    <nc r="AU68" t="n">
      <f>SUM(AU60:AU67)</f>
    </nc>
  </rcc>
  <rcc rId="52" ua="false" sId="1">
    <oc r="AV68" t="n">
      <f>SUM(AV60:AV67)</f>
    </oc>
    <nc r="AV68" t="n">
      <f>SUM(AV60:AV67)</f>
    </nc>
  </rcc>
  <rcc rId="53" ua="false" sId="1">
    <oc r="AW68" t="n">
      <f>SUM(AW60:AW67)</f>
    </oc>
    <nc r="AW68" t="n">
      <f>SUM(AW60:AW67)</f>
    </nc>
  </rcc>
  <rcc rId="54" ua="false" sId="1">
    <oc r="AX68" t="n">
      <f>SUM(AX60:AX67)</f>
    </oc>
    <nc r="AX68" t="n">
      <f>SUM(AX60:AX67)</f>
    </nc>
  </rcc>
  <rcc rId="55" ua="false" sId="1">
    <oc r="AY68" t="n">
      <f>SUM(AY60:AY67)</f>
    </oc>
    <nc r="AY68" t="n">
      <f>SUM(AY60:AY67)</f>
    </nc>
  </rcc>
</revisions>
</file>

<file path=xl/revisions/revisionLog3.xml><?xml version="1.0" encoding="utf-8"?>
<revisions xmlns="http://schemas.openxmlformats.org/spreadsheetml/2006/main" xmlns:r="http://schemas.openxmlformats.org/officeDocument/2006/relationships">
  <rcc rId="56" ua="false" sId="1">
    <oc r="I42" t="n">
      <v>7</v>
    </oc>
    <nc r="I42" t="n">
      <v>3</v>
    </nc>
  </rcc>
  <rcc rId="57" ua="false" sId="1">
    <oc r="K42" t="n">
      <v>1</v>
    </oc>
    <nc r="K42" t="n">
      <v>2</v>
    </nc>
  </rcc>
  <rcc rId="58" ua="false" sId="1">
    <oc r="L42" t="n">
      <v>3</v>
    </oc>
    <nc r="L42" t="n">
      <v>1</v>
    </nc>
  </rcc>
  <rcc rId="59" ua="false" sId="1">
    <nc r="H42" t="n">
      <v>3</v>
    </nc>
  </rcc>
  <rcc rId="60" ua="false" sId="1">
    <oc r="C42" t="n">
      <v>8</v>
    </oc>
    <nc r="C42" t="n">
      <v>9</v>
    </nc>
  </rcc>
  <rcc rId="61" ua="false" sId="1">
    <oc r="D42" t="n">
      <v>9</v>
    </oc>
    <nc r="D42" t="n">
      <v>12</v>
    </nc>
  </rcc>
  <rcc rId="62" ua="false" sId="1">
    <oc r="AD42" t="n">
      <v>1</v>
    </oc>
    <nc r="AD42" t="n">
      <v>3</v>
    </nc>
  </rcc>
</revisions>
</file>

<file path=xl/revisions/revisionLog4.xml><?xml version="1.0" encoding="utf-8"?>
<revisions xmlns="http://schemas.openxmlformats.org/spreadsheetml/2006/main" xmlns:r="http://schemas.openxmlformats.org/officeDocument/2006/relationships">
  <rcc rId="63" ua="false" sId="1">
    <oc r="H17" t="n">
      <v>2</v>
    </oc>
    <nc r="H17" t="n">
      <v>1</v>
    </nc>
  </rcc>
</revisions>
</file>

<file path=xl/revisions/revisionLog5.xml><?xml version="1.0" encoding="utf-8"?>
<revisions xmlns="http://schemas.openxmlformats.org/spreadsheetml/2006/main" xmlns:r="http://schemas.openxmlformats.org/officeDocument/2006/relationships">
  <rcc rId="64" ua="false" sId="1">
    <nc r="G56" t="n">
      <v>12</v>
    </nc>
  </rcc>
</revisions>
</file>

<file path=xl/revisions/revisionLog6.xml><?xml version="1.0" encoding="utf-8"?>
<revisions xmlns="http://schemas.openxmlformats.org/spreadsheetml/2006/main" xmlns:r="http://schemas.openxmlformats.org/officeDocument/2006/relationships">
  <rcc rId="65" ua="false" sId="1">
    <nc r="K4" t="n">
      <v>5</v>
    </nc>
  </rcc>
  <rcc rId="66" ua="false" sId="1">
    <oc r="K4" t="n">
      <v>5</v>
    </oc>
    <nc r="K4"/>
  </rcc>
</revisions>
</file>

<file path=xl/revisions/revisionLog7.xml><?xml version="1.0" encoding="utf-8"?>
<revisions xmlns="http://schemas.openxmlformats.org/spreadsheetml/2006/main" xmlns:r="http://schemas.openxmlformats.org/officeDocument/2006/relationships">
  <rcc rId="67" ua="false" sId="1">
    <oc r="G56" t="n">
      <v>12</v>
    </oc>
    <nc r="G56"/>
  </rcc>
</revisions>
</file>

<file path=xl/revisions/revisionLog8.xml><?xml version="1.0" encoding="utf-8"?>
<revisions xmlns="http://schemas.openxmlformats.org/spreadsheetml/2006/main" xmlns:r="http://schemas.openxmlformats.org/officeDocument/2006/relationships">
  <rcc rId="68" ua="false" sId="1">
    <nc r="R21" t="n">
      <v>1</v>
    </nc>
  </rcc>
  <rcc rId="69" ua="false" sId="1">
    <nc r="I21" t="n">
      <v>1</v>
    </nc>
  </rcc>
  <rcc rId="70" ua="false" sId="1">
    <nc r="H21" t="n">
      <v>1</v>
    </nc>
  </rcc>
</revisions>
</file>

<file path=xl/revisions/revisionLog9.xml><?xml version="1.0" encoding="utf-8"?>
<revisions xmlns="http://schemas.openxmlformats.org/spreadsheetml/2006/main" xmlns:r="http://schemas.openxmlformats.org/officeDocument/2006/relationships">
  <rcc rId="71" ua="false" sId="1">
    <oc r="AZ59" t="n">
      <f>SUM(AZ2:AZ58)</f>
    </oc>
    <nc r="AZ59" t="n">
      <f>SUM(C59:AY59)</f>
    </nc>
  </rcc>
  <rcc rId="72" ua="false" sId="1">
    <oc r="C59" t="n">
      <f>SUM(C2:C58)</f>
    </oc>
    <nc r="C59" t="n">
      <f>SUM(C2:C58)</f>
    </nc>
  </rcc>
  <rcc rId="73" ua="false" sId="1">
    <oc r="D59" t="n">
      <f>SUM(D2:D58)</f>
    </oc>
    <nc r="D59" t="n">
      <f>SUM(D2:D58)</f>
    </nc>
  </rcc>
  <rcc rId="74" ua="false" sId="1">
    <oc r="E59" t="n">
      <f>SUM(E2:E58)</f>
    </oc>
    <nc r="E59" t="n">
      <f>SUM(E2:E58)</f>
    </nc>
  </rcc>
  <rcc rId="75" ua="false" sId="1">
    <oc r="F59" t="n">
      <f>SUM(F2:F58)</f>
    </oc>
    <nc r="F59" t="n">
      <f>SUM(F2:F58)</f>
    </nc>
  </rcc>
  <rcc rId="76" ua="false" sId="1">
    <oc r="G59" t="n">
      <f>SUM(G2:G58)</f>
    </oc>
    <nc r="G59" t="n">
      <f>SUM(G2:G58)</f>
    </nc>
  </rcc>
  <rcc rId="77" ua="false" sId="1">
    <oc r="H59" t="n">
      <f>SUM(H2:H58)</f>
    </oc>
    <nc r="H59" t="n">
      <f>SUM(H2:H58)</f>
    </nc>
  </rcc>
  <rcc rId="78" ua="false" sId="1">
    <oc r="I59" t="n">
      <f>SUM(I2:I58)</f>
    </oc>
    <nc r="I59" t="n">
      <f>SUM(I2:I58)</f>
    </nc>
  </rcc>
  <rcc rId="79" ua="false" sId="1">
    <oc r="J59" t="n">
      <f>SUM(J2:J58)</f>
    </oc>
    <nc r="J59" t="n">
      <f>SUM(J2:J58)</f>
    </nc>
  </rcc>
  <rcc rId="80" ua="false" sId="1">
    <oc r="K59" t="n">
      <f>SUM(K2:K58)</f>
    </oc>
    <nc r="K59" t="n">
      <f>SUM(K2:K58)</f>
    </nc>
  </rcc>
  <rcc rId="81" ua="false" sId="1">
    <oc r="L59" t="n">
      <f>SUM(L2:L58)</f>
    </oc>
    <nc r="L59" t="n">
      <f>SUM(L2:L58)</f>
    </nc>
  </rcc>
  <rcc rId="82" ua="false" sId="1">
    <oc r="M59" t="n">
      <f>SUM(M2:M58)</f>
    </oc>
    <nc r="M59" t="n">
      <f>SUM(M2:M58)</f>
    </nc>
  </rcc>
  <rcc rId="83" ua="false" sId="1">
    <oc r="N59" t="n">
      <f>SUM(N2:N58)</f>
    </oc>
    <nc r="N59" t="n">
      <f>SUM(N2:N58)</f>
    </nc>
  </rcc>
  <rcc rId="84" ua="false" sId="1">
    <oc r="O59" t="n">
      <f>SUM(O2:O58)</f>
    </oc>
    <nc r="O59" t="n">
      <f>SUM(O2:O58)</f>
    </nc>
  </rcc>
  <rcc rId="85" ua="false" sId="1">
    <nc r="P59" t="n">
      <f>SUM(P2:P58)</f>
    </nc>
  </rcc>
  <rcc rId="86" ua="false" sId="1">
    <oc r="Q59" t="n">
      <f>SUM(Q2:Q58)</f>
    </oc>
    <nc r="Q59" t="n">
      <f>SUM(Q2:Q58)</f>
    </nc>
  </rcc>
  <rcc rId="87" ua="false" sId="1">
    <oc r="R59" t="n">
      <f>SUM(R2:R58)</f>
    </oc>
    <nc r="R59" t="n">
      <f>SUM(R2:R58)</f>
    </nc>
  </rcc>
  <rcc rId="88" ua="false" sId="1">
    <oc r="S59" t="n">
      <f>SUM(S2:S58)</f>
    </oc>
    <nc r="S59" t="n">
      <f>SUM(S2:S58)</f>
    </nc>
  </rcc>
  <rcc rId="89" ua="false" sId="1">
    <oc r="T59" t="n">
      <f>SUM(T2:T58)</f>
    </oc>
    <nc r="T59" t="n">
      <f>SUM(T2:T58)</f>
    </nc>
  </rcc>
  <rcc rId="90" ua="false" sId="1">
    <oc r="U59" t="n">
      <f>SUM(U2:U58)</f>
    </oc>
    <nc r="U59" t="n">
      <f>SUM(U2:U58)</f>
    </nc>
  </rcc>
  <rcc rId="91" ua="false" sId="1">
    <oc r="V59" t="n">
      <f>SUM(V2:V58)</f>
    </oc>
    <nc r="V59" t="n">
      <f>SUM(V2:V58)</f>
    </nc>
  </rcc>
  <rcc rId="92" ua="false" sId="1">
    <oc r="W59" t="n">
      <f>SUM(W2:W58)</f>
    </oc>
    <nc r="W59" t="n">
      <f>SUM(W2:W58)</f>
    </nc>
  </rcc>
  <rcc rId="93" ua="false" sId="1">
    <oc r="X59" t="n">
      <f>SUM(X2:X58)</f>
    </oc>
    <nc r="X59" t="n">
      <f>SUM(X2:X58)</f>
    </nc>
  </rcc>
  <rcc rId="94" ua="false" sId="1">
    <oc r="Y59" t="n">
      <f>SUM(Y2:Y58)</f>
    </oc>
    <nc r="Y59" t="n">
      <f>SUM(Y2:Y58)</f>
    </nc>
  </rcc>
  <rcc rId="95" ua="false" sId="1">
    <oc r="Z59" t="n">
      <f>SUM(Z2:Z58)</f>
    </oc>
    <nc r="Z59" t="n">
      <f>SUM(Z2:Z58)</f>
    </nc>
  </rcc>
  <rcc rId="96" ua="false" sId="1">
    <oc r="AA59" t="n">
      <f>SUM(AA2:AA58)</f>
    </oc>
    <nc r="AA59" t="n">
      <f>SUM(AA2:AA58)</f>
    </nc>
  </rcc>
  <rcc rId="97" ua="false" sId="1">
    <oc r="AB59" t="n">
      <f>SUM(AB2:AB58)</f>
    </oc>
    <nc r="AB59" t="n">
      <f>SUM(AB2:AB58)</f>
    </nc>
  </rcc>
  <rcc rId="98" ua="false" sId="1">
    <oc r="AC59" t="n">
      <f>SUM(AC2:AC58)</f>
    </oc>
    <nc r="AC59" t="n">
      <f>SUM(AC2:AC58)</f>
    </nc>
  </rcc>
  <rcc rId="99" ua="false" sId="1">
    <oc r="AD59" t="n">
      <f>SUM(AD2:AD58)</f>
    </oc>
    <nc r="AD59" t="n">
      <f>SUM(AD2:AD58)</f>
    </nc>
  </rcc>
  <rcc rId="100" ua="false" sId="1">
    <nc r="AE59" t="n">
      <f>SUM(AE2:AE58)</f>
    </nc>
  </rcc>
  <rcc rId="101" ua="false" sId="1">
    <oc r="AF59" t="n">
      <f>SUM(AF2:AF58)</f>
    </oc>
    <nc r="AF59" t="n">
      <f>SUM(AF2:AF58)</f>
    </nc>
  </rcc>
  <rcc rId="102" ua="false" sId="1">
    <oc r="AG59" t="n">
      <f>SUM(AG2:AG58)</f>
    </oc>
    <nc r="AG59" t="n">
      <f>SUM(AG2:AG58)</f>
    </nc>
  </rcc>
  <rcc rId="103" ua="false" sId="1">
    <oc r="AH59" t="n">
      <f>SUM(AH2:AH58)</f>
    </oc>
    <nc r="AH59" t="n">
      <f>SUM(AH2:AH58)</f>
    </nc>
  </rcc>
  <rcc rId="104" ua="false" sId="1">
    <oc r="AI59" t="n">
      <f>SUM(AI2:AI58)</f>
    </oc>
    <nc r="AI59" t="n">
      <f>SUM(AI2:AI58)</f>
    </nc>
  </rcc>
  <rcc rId="105" ua="false" sId="1">
    <oc r="AJ59" t="n">
      <f>SUM(AJ2:AJ58)</f>
    </oc>
    <nc r="AJ59" t="n">
      <f>SUM(AJ2:AJ58)</f>
    </nc>
  </rcc>
  <rcc rId="106" ua="false" sId="1">
    <oc r="AK59" t="n">
      <f>SUM(AK2:AK58)</f>
    </oc>
    <nc r="AK59" t="n">
      <f>SUM(AK2:AK58)</f>
    </nc>
  </rcc>
  <rcc rId="107" ua="false" sId="1">
    <oc r="AL59" t="n">
      <f>SUM(AL2:AL58)</f>
    </oc>
    <nc r="AL59" t="n">
      <f>SUM(AL2:AL58)</f>
    </nc>
  </rcc>
  <rcc rId="108" ua="false" sId="1">
    <oc r="AM59" t="n">
      <f>SUM(AM2:AM58)</f>
    </oc>
    <nc r="AM59" t="n">
      <f>SUM(AM2:AM58)</f>
    </nc>
  </rcc>
  <rcc rId="109" ua="false" sId="1">
    <oc r="AN59" t="n">
      <f>SUM(AN2:AN58)</f>
    </oc>
    <nc r="AN59" t="n">
      <f>SUM(AN2:AN58)</f>
    </nc>
  </rcc>
  <rcc rId="110" ua="false" sId="1">
    <nc r="AO59" t="n">
      <f>SUM(AO2:AO58)</f>
    </nc>
  </rcc>
  <rcc rId="111" ua="false" sId="1">
    <oc r="AP59" t="n">
      <f>SUM(AP2:AP58)</f>
    </oc>
    <nc r="AP59" t="n">
      <f>SUM(AP2:AP58)</f>
    </nc>
  </rcc>
  <rcc rId="112" ua="false" sId="1">
    <oc r="AQ59" t="n">
      <f>SUM(AQ2:AQ58)</f>
    </oc>
    <nc r="AQ59" t="n">
      <f>SUM(AQ2:AQ58)</f>
    </nc>
  </rcc>
  <rcc rId="113" ua="false" sId="1">
    <oc r="AR59" t="n">
      <f>SUM(AR2:AR58)</f>
    </oc>
    <nc r="AR59" t="n">
      <f>SUM(AR2:AR58)</f>
    </nc>
  </rcc>
  <rcc rId="114" ua="false" sId="1">
    <oc r="AS59" t="n">
      <f>SUM(AS2:AS58)</f>
    </oc>
    <nc r="AS59" t="n">
      <f>SUM(AS2:AS58)</f>
    </nc>
  </rcc>
  <rcc rId="115" ua="false" sId="1">
    <oc r="AT59" t="n">
      <f>SUM(AT2:AT58)</f>
    </oc>
    <nc r="AT59" t="n">
      <f>SUM(AT2:AT58)</f>
    </nc>
  </rcc>
  <rcc rId="116" ua="false" sId="1">
    <oc r="AU59" t="n">
      <f>SUM(AU2:AU58)</f>
    </oc>
    <nc r="AU59" t="n">
      <f>SUM(AU2:AU58)</f>
    </nc>
  </rcc>
  <rcc rId="117" ua="false" sId="1">
    <oc r="AV59" t="n">
      <f>SUM(AV2:AV58)</f>
    </oc>
    <nc r="AV59" t="n">
      <f>SUM(AV2:AV58)</f>
    </nc>
  </rcc>
  <rcc rId="118" ua="false" sId="1">
    <oc r="AW59" t="n">
      <f>SUM(AW2:AW58)</f>
    </oc>
    <nc r="AW59" t="n">
      <f>SUM(AW2:AW58)</f>
    </nc>
  </rcc>
  <rcc rId="119" ua="false" sId="1">
    <oc r="AX59" t="n">
      <f>SUM(AX2:AX58)</f>
    </oc>
    <nc r="AX59" t="n">
      <f>SUM(AX2:AX58)</f>
    </nc>
  </rcc>
  <rcc rId="120" ua="false" sId="1">
    <oc r="AY59" t="n">
      <f>SUM(AY2:AY58)</f>
    </oc>
    <nc r="AY59" t="n">
      <f>SUM(AY2:AY58)</f>
    </nc>
  </rcc>
  <rcc rId="121" ua="false" sId="1">
    <nc r="K16" t="n">
      <v>1</v>
    </nc>
  </rcc>
  <rcc rId="122" ua="false" sId="1">
    <nc r="H16" t="n">
      <v>1</v>
    </nc>
  </rcc>
</revisions>
</file>

<file path=xl/revisions/revisionLog10.xml><?xml version="1.0" encoding="utf-8"?>
<revisions xmlns="http://schemas.openxmlformats.org/spreadsheetml/2006/main" xmlns:r="http://schemas.openxmlformats.org/officeDocument/2006/relationships">
  <rcc rId="123" ua="false" sId="1">
    <oc r="H21" t="n">
      <v>1</v>
    </oc>
    <nc r="H21"/>
  </rcc>
  <rcc rId="124" ua="false" sId="1">
    <oc r="I21" t="n">
      <v>1</v>
    </oc>
    <nc r="I21"/>
  </rcc>
  <rcc rId="125" ua="false" sId="1">
    <oc r="C37" t="n">
      <v>2</v>
    </oc>
    <nc r="C37"/>
  </rcc>
  <rcc rId="126" ua="false" sId="1">
    <oc r="R37" t="n">
      <v>6</v>
    </oc>
    <nc r="R37"/>
  </rcc>
  <rcc rId="127" ua="false" sId="1">
    <nc r="H3" t="n">
      <v>2</v>
    </nc>
  </rcc>
  <rcc rId="128" ua="false" sId="1">
    <nc r="I3" t="n">
      <v>2</v>
    </nc>
  </rcc>
</revisions>
</file>

<file path=xl/revisions/revisionLog11.xml><?xml version="1.0" encoding="utf-8"?>
<revisions xmlns="http://schemas.openxmlformats.org/spreadsheetml/2006/main" xmlns:r="http://schemas.openxmlformats.org/officeDocument/2006/relationships">
  <rcc rId="129" ua="false" sId="1">
    <oc r="A62" t="inlineStr">
      <is>
        <r>
          <rPr>
            <sz val="11"/>
            <color theme="1"/>
            <rFont val="Arial"/>
            <family val="2"/>
            <charset val="177"/>
          </rPr>
          <t xml:space="preserve">מחסן TH מידוף קל</t>
        </r>
      </is>
    </oc>
    <nc r="A62" t="inlineStr">
      <is>
        <r>
          <rPr>
            <sz val="11"/>
            <color theme="1"/>
            <rFont val="Arial"/>
            <family val="2"/>
            <charset val="177"/>
          </rPr>
          <t xml:space="preserve">מחסן מידוף קל</t>
        </r>
      </is>
    </nc>
  </rcc>
</revisions>
</file>

<file path=xl/revisions/revisionLog12.xml><?xml version="1.0" encoding="utf-8"?>
<revisions xmlns="http://schemas.openxmlformats.org/spreadsheetml/2006/main" xmlns:r="http://schemas.openxmlformats.org/officeDocument/2006/relationships">
  <rcc rId="130" ua="false" sId="1">
    <nc r="I25" t="n">
      <v>1</v>
    </nc>
  </rcc>
  <rcc rId="131" ua="false" sId="1">
    <nc r="I26" t="n">
      <v>1</v>
    </nc>
  </rcc>
</revisions>
</file>

<file path=xl/revisions/userNames.xml><?xml version="1.0" encoding="utf-8"?>
<users xmlns="http://schemas.openxmlformats.org/spreadsheetml/2006/main" xmlns:r="http://schemas.openxmlformats.org/officeDocument/2006/relationships" count="0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A68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pane xSplit="0" ySplit="1" topLeftCell="A19" activePane="bottomLeft" state="frozen"/>
      <selection pane="topLeft" activeCell="A1" activeCellId="0" sqref="A1"/>
      <selection pane="bottomLeft" activeCell="J29" activeCellId="0" sqref="J29"/>
    </sheetView>
  </sheetViews>
  <sheetFormatPr defaultColWidth="8.41015625" defaultRowHeight="14.25" customHeight="false" zeroHeight="false" outlineLevelRow="0" outlineLevelCol="0"/>
  <cols>
    <col collapsed="false" customWidth="true" hidden="false" outlineLevel="0" max="1" min="1" style="1" width="24.88"/>
    <col collapsed="false" customWidth="true" hidden="false" outlineLevel="0" max="2" min="2" style="1" width="33.94"/>
    <col collapsed="false" customWidth="true" hidden="false" outlineLevel="0" max="15" min="15" style="1" width="8.88"/>
    <col collapsed="false" customWidth="true" hidden="false" outlineLevel="0" max="24" min="24" style="1" width="8.88"/>
  </cols>
  <sheetData>
    <row r="1" customFormat="false" ht="42" hidden="false" customHeight="false" outlineLevel="0" collapsed="false">
      <c r="A1" s="2"/>
      <c r="B1" s="3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4" t="s">
        <v>6</v>
      </c>
      <c r="I1" s="4" t="s">
        <v>7</v>
      </c>
      <c r="J1" s="4" t="s">
        <v>8</v>
      </c>
      <c r="K1" s="4" t="s">
        <v>9</v>
      </c>
      <c r="L1" s="4" t="s">
        <v>10</v>
      </c>
      <c r="M1" s="4" t="s">
        <v>11</v>
      </c>
      <c r="N1" s="4" t="s">
        <v>12</v>
      </c>
      <c r="O1" s="6" t="s">
        <v>13</v>
      </c>
      <c r="P1" s="6" t="s">
        <v>14</v>
      </c>
      <c r="Q1" s="7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7" t="s">
        <v>21</v>
      </c>
      <c r="X1" s="7" t="s">
        <v>22</v>
      </c>
      <c r="Y1" s="7" t="s">
        <v>23</v>
      </c>
      <c r="Z1" s="4" t="s">
        <v>24</v>
      </c>
      <c r="AA1" s="4" t="s">
        <v>25</v>
      </c>
      <c r="AB1" s="4" t="s">
        <v>26</v>
      </c>
      <c r="AC1" s="4" t="s">
        <v>27</v>
      </c>
      <c r="AD1" s="4" t="s">
        <v>28</v>
      </c>
      <c r="AE1" s="4" t="s">
        <v>29</v>
      </c>
      <c r="AF1" s="4" t="s">
        <v>30</v>
      </c>
      <c r="AG1" s="4" t="s">
        <v>31</v>
      </c>
      <c r="AH1" s="4" t="s">
        <v>32</v>
      </c>
      <c r="AI1" s="8" t="s">
        <v>33</v>
      </c>
      <c r="AJ1" s="4" t="s">
        <v>34</v>
      </c>
      <c r="AK1" s="4" t="s">
        <v>35</v>
      </c>
      <c r="AL1" s="4" t="s">
        <v>36</v>
      </c>
      <c r="AM1" s="4" t="s">
        <v>37</v>
      </c>
      <c r="AN1" s="4" t="s">
        <v>38</v>
      </c>
      <c r="AO1" s="4" t="s">
        <v>39</v>
      </c>
      <c r="AP1" s="9" t="s">
        <v>40</v>
      </c>
      <c r="AQ1" s="4" t="s">
        <v>41</v>
      </c>
      <c r="AR1" s="4" t="s">
        <v>42</v>
      </c>
      <c r="AS1" s="4" t="s">
        <v>43</v>
      </c>
      <c r="AT1" s="4" t="s">
        <v>44</v>
      </c>
      <c r="AU1" s="4" t="s">
        <v>45</v>
      </c>
      <c r="AV1" s="4" t="s">
        <v>46</v>
      </c>
      <c r="AW1" s="4" t="s">
        <v>47</v>
      </c>
      <c r="AX1" s="4" t="s">
        <v>48</v>
      </c>
      <c r="AY1" s="4" t="s">
        <v>49</v>
      </c>
      <c r="AZ1" s="10"/>
      <c r="BA1" s="11"/>
    </row>
    <row r="2" customFormat="false" ht="15" hidden="false" customHeight="false" outlineLevel="0" collapsed="false">
      <c r="A2" s="12" t="s">
        <v>50</v>
      </c>
      <c r="B2" s="13" t="s">
        <v>51</v>
      </c>
      <c r="C2" s="14"/>
      <c r="D2" s="15"/>
      <c r="E2" s="15"/>
      <c r="F2" s="15"/>
      <c r="G2" s="16"/>
      <c r="H2" s="17"/>
      <c r="I2" s="17"/>
      <c r="J2" s="16"/>
      <c r="K2" s="18"/>
      <c r="L2" s="19"/>
      <c r="M2" s="20"/>
      <c r="N2" s="20"/>
      <c r="O2" s="20"/>
      <c r="P2" s="20"/>
      <c r="Q2" s="20"/>
      <c r="R2" s="20"/>
      <c r="S2" s="21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2"/>
      <c r="AI2" s="23"/>
      <c r="AJ2" s="24"/>
      <c r="AK2" s="22"/>
      <c r="AL2" s="20"/>
      <c r="AM2" s="20"/>
      <c r="AN2" s="20"/>
      <c r="AO2" s="20"/>
      <c r="AP2" s="20"/>
      <c r="AQ2" s="20"/>
      <c r="AR2" s="20"/>
      <c r="AS2" s="20"/>
      <c r="AT2" s="20"/>
      <c r="AU2" s="20"/>
      <c r="AV2" s="20"/>
      <c r="AW2" s="15"/>
      <c r="AX2" s="15"/>
      <c r="AY2" s="25"/>
      <c r="AZ2" s="26" t="n">
        <f aca="false">SUM(C2:AY2)</f>
        <v>0</v>
      </c>
      <c r="BA2" s="27"/>
    </row>
    <row r="3" customFormat="false" ht="15" hidden="false" customHeight="false" outlineLevel="0" collapsed="false">
      <c r="A3" s="28" t="s">
        <v>52</v>
      </c>
      <c r="B3" s="29" t="s">
        <v>53</v>
      </c>
      <c r="C3" s="30"/>
      <c r="D3" s="31"/>
      <c r="E3" s="31"/>
      <c r="F3" s="31"/>
      <c r="G3" s="31"/>
      <c r="H3" s="32" t="n">
        <v>2</v>
      </c>
      <c r="I3" s="32" t="n">
        <v>2</v>
      </c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3"/>
      <c r="X3" s="33"/>
      <c r="Y3" s="31"/>
      <c r="Z3" s="31"/>
      <c r="AA3" s="31"/>
      <c r="AB3" s="31"/>
      <c r="AC3" s="31"/>
      <c r="AD3" s="31"/>
      <c r="AE3" s="31"/>
      <c r="AF3" s="31"/>
      <c r="AG3" s="31"/>
      <c r="AH3" s="34"/>
      <c r="AI3" s="31"/>
      <c r="AJ3" s="35"/>
      <c r="AK3" s="34"/>
      <c r="AL3" s="31"/>
      <c r="AM3" s="31"/>
      <c r="AN3" s="31"/>
      <c r="AO3" s="31"/>
      <c r="AP3" s="31"/>
      <c r="AQ3" s="31"/>
      <c r="AR3" s="31"/>
      <c r="AS3" s="31"/>
      <c r="AT3" s="31"/>
      <c r="AU3" s="31"/>
      <c r="AV3" s="31"/>
      <c r="AW3" s="31"/>
      <c r="AX3" s="31"/>
      <c r="AY3" s="36"/>
      <c r="AZ3" s="26" t="n">
        <f aca="false">SUM(C3:AY3)</f>
        <v>4</v>
      </c>
      <c r="BA3" s="37"/>
    </row>
    <row r="4" customFormat="false" ht="15" hidden="false" customHeight="false" outlineLevel="0" collapsed="false">
      <c r="A4" s="38" t="s">
        <v>54</v>
      </c>
      <c r="B4" s="29" t="s">
        <v>55</v>
      </c>
      <c r="C4" s="30"/>
      <c r="D4" s="39"/>
      <c r="E4" s="40"/>
      <c r="F4" s="40"/>
      <c r="G4" s="40"/>
      <c r="H4" s="41"/>
      <c r="I4" s="42"/>
      <c r="J4" s="40"/>
      <c r="K4" s="41"/>
      <c r="L4" s="43"/>
      <c r="M4" s="40"/>
      <c r="N4" s="40"/>
      <c r="O4" s="40"/>
      <c r="P4" s="40"/>
      <c r="Q4" s="40"/>
      <c r="R4" s="44"/>
      <c r="S4" s="40"/>
      <c r="T4" s="40"/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40"/>
      <c r="AH4" s="45"/>
      <c r="AI4" s="31"/>
      <c r="AJ4" s="46"/>
      <c r="AK4" s="45"/>
      <c r="AL4" s="40"/>
      <c r="AM4" s="40"/>
      <c r="AN4" s="40"/>
      <c r="AO4" s="40"/>
      <c r="AP4" s="40"/>
      <c r="AQ4" s="40"/>
      <c r="AR4" s="40"/>
      <c r="AS4" s="40"/>
      <c r="AT4" s="40"/>
      <c r="AU4" s="40"/>
      <c r="AV4" s="40"/>
      <c r="AW4" s="40"/>
      <c r="AX4" s="40"/>
      <c r="AY4" s="47"/>
      <c r="AZ4" s="26" t="n">
        <f aca="false">SUM(C4:AY4)</f>
        <v>0</v>
      </c>
      <c r="BA4" s="48"/>
    </row>
    <row r="5" customFormat="false" ht="15" hidden="false" customHeight="false" outlineLevel="0" collapsed="false">
      <c r="A5" s="38" t="s">
        <v>56</v>
      </c>
      <c r="B5" s="29" t="s">
        <v>57</v>
      </c>
      <c r="C5" s="49"/>
      <c r="D5" s="50"/>
      <c r="E5" s="50"/>
      <c r="F5" s="42"/>
      <c r="G5" s="50"/>
      <c r="H5" s="50"/>
      <c r="I5" s="50"/>
      <c r="J5" s="50"/>
      <c r="K5" s="41"/>
      <c r="L5" s="50"/>
      <c r="M5" s="50"/>
      <c r="N5" s="41"/>
      <c r="O5" s="50"/>
      <c r="P5" s="50"/>
      <c r="Q5" s="50"/>
      <c r="R5" s="50"/>
      <c r="S5" s="50"/>
      <c r="T5" s="50"/>
      <c r="U5" s="50"/>
      <c r="V5" s="50"/>
      <c r="W5" s="40"/>
      <c r="X5" s="40"/>
      <c r="Y5" s="50"/>
      <c r="Z5" s="50"/>
      <c r="AA5" s="50"/>
      <c r="AB5" s="50"/>
      <c r="AC5" s="50"/>
      <c r="AD5" s="42"/>
      <c r="AE5" s="42"/>
      <c r="AF5" s="50"/>
      <c r="AG5" s="50"/>
      <c r="AH5" s="50"/>
      <c r="AI5" s="31"/>
      <c r="AJ5" s="50"/>
      <c r="AK5" s="50"/>
      <c r="AL5" s="50"/>
      <c r="AM5" s="50"/>
      <c r="AN5" s="50"/>
      <c r="AO5" s="50"/>
      <c r="AP5" s="50"/>
      <c r="AQ5" s="50"/>
      <c r="AR5" s="50"/>
      <c r="AS5" s="50"/>
      <c r="AT5" s="50"/>
      <c r="AU5" s="50"/>
      <c r="AV5" s="50"/>
      <c r="AW5" s="50"/>
      <c r="AX5" s="50"/>
      <c r="AY5" s="51"/>
      <c r="AZ5" s="26" t="n">
        <f aca="false">SUM(C5:AY5)</f>
        <v>0</v>
      </c>
      <c r="BA5" s="37"/>
    </row>
    <row r="6" customFormat="false" ht="15" hidden="false" customHeight="false" outlineLevel="0" collapsed="false">
      <c r="A6" s="52" t="s">
        <v>58</v>
      </c>
      <c r="B6" s="29" t="s">
        <v>59</v>
      </c>
      <c r="C6" s="53"/>
      <c r="D6" s="50"/>
      <c r="E6" s="50"/>
      <c r="F6" s="50"/>
      <c r="G6" s="50"/>
      <c r="H6" s="54" t="n">
        <v>1</v>
      </c>
      <c r="I6" s="55" t="n">
        <v>1</v>
      </c>
      <c r="J6" s="50"/>
      <c r="K6" s="56"/>
      <c r="L6" s="41"/>
      <c r="M6" s="50"/>
      <c r="N6" s="50"/>
      <c r="O6" s="50"/>
      <c r="P6" s="50"/>
      <c r="Q6" s="50"/>
      <c r="R6" s="50"/>
      <c r="S6" s="50"/>
      <c r="T6" s="50"/>
      <c r="U6" s="50"/>
      <c r="V6" s="50"/>
      <c r="W6" s="57"/>
      <c r="X6" s="57"/>
      <c r="Y6" s="50"/>
      <c r="Z6" s="50"/>
      <c r="AA6" s="41"/>
      <c r="AB6" s="41"/>
      <c r="AC6" s="41"/>
      <c r="AD6" s="50"/>
      <c r="AE6" s="50"/>
      <c r="AF6" s="50"/>
      <c r="AG6" s="50"/>
      <c r="AH6" s="58"/>
      <c r="AI6" s="31"/>
      <c r="AJ6" s="59"/>
      <c r="AK6" s="58"/>
      <c r="AL6" s="50"/>
      <c r="AM6" s="50"/>
      <c r="AN6" s="50"/>
      <c r="AO6" s="50"/>
      <c r="AP6" s="50"/>
      <c r="AQ6" s="50"/>
      <c r="AR6" s="50"/>
      <c r="AS6" s="50"/>
      <c r="AT6" s="50"/>
      <c r="AU6" s="50"/>
      <c r="AV6" s="50"/>
      <c r="AW6" s="50"/>
      <c r="AX6" s="50"/>
      <c r="AY6" s="51"/>
      <c r="AZ6" s="26" t="n">
        <f aca="false">SUM(C6:AY6)</f>
        <v>2</v>
      </c>
      <c r="BA6" s="37"/>
    </row>
    <row r="7" customFormat="false" ht="15" hidden="false" customHeight="false" outlineLevel="0" collapsed="false">
      <c r="A7" s="52" t="s">
        <v>60</v>
      </c>
      <c r="B7" s="29" t="s">
        <v>61</v>
      </c>
      <c r="C7" s="53"/>
      <c r="D7" s="50"/>
      <c r="E7" s="50"/>
      <c r="F7" s="50"/>
      <c r="G7" s="50"/>
      <c r="H7" s="44"/>
      <c r="I7" s="41"/>
      <c r="J7" s="50"/>
      <c r="K7" s="44"/>
      <c r="L7" s="42"/>
      <c r="M7" s="50"/>
      <c r="N7" s="50"/>
      <c r="O7" s="50"/>
      <c r="P7" s="50"/>
      <c r="Q7" s="50"/>
      <c r="R7" s="42"/>
      <c r="S7" s="50"/>
      <c r="T7" s="50"/>
      <c r="U7" s="42"/>
      <c r="V7" s="42"/>
      <c r="W7" s="40"/>
      <c r="X7" s="40"/>
      <c r="Y7" s="50"/>
      <c r="Z7" s="50"/>
      <c r="AA7" s="31"/>
      <c r="AB7" s="31"/>
      <c r="AC7" s="31"/>
      <c r="AD7" s="41"/>
      <c r="AE7" s="41"/>
      <c r="AF7" s="50"/>
      <c r="AG7" s="41"/>
      <c r="AH7" s="60"/>
      <c r="AI7" s="31"/>
      <c r="AJ7" s="61"/>
      <c r="AK7" s="60"/>
      <c r="AL7" s="41"/>
      <c r="AM7" s="50"/>
      <c r="AN7" s="50"/>
      <c r="AO7" s="50"/>
      <c r="AP7" s="50"/>
      <c r="AQ7" s="50"/>
      <c r="AR7" s="50"/>
      <c r="AS7" s="50"/>
      <c r="AT7" s="50"/>
      <c r="AU7" s="50"/>
      <c r="AV7" s="50"/>
      <c r="AW7" s="50"/>
      <c r="AX7" s="50"/>
      <c r="AY7" s="51"/>
      <c r="AZ7" s="26" t="n">
        <f aca="false">SUM(C7:AY7)</f>
        <v>0</v>
      </c>
      <c r="BA7" s="37"/>
    </row>
    <row r="8" customFormat="false" ht="15" hidden="false" customHeight="false" outlineLevel="0" collapsed="false">
      <c r="A8" s="62" t="s">
        <v>62</v>
      </c>
      <c r="B8" s="29" t="s">
        <v>63</v>
      </c>
      <c r="C8" s="53"/>
      <c r="D8" s="41"/>
      <c r="E8" s="41"/>
      <c r="F8" s="42"/>
      <c r="G8" s="42"/>
      <c r="H8" s="42"/>
      <c r="I8" s="42"/>
      <c r="J8" s="41"/>
      <c r="K8" s="42"/>
      <c r="L8" s="42"/>
      <c r="M8" s="50"/>
      <c r="N8" s="41"/>
      <c r="O8" s="44"/>
      <c r="P8" s="44"/>
      <c r="Q8" s="50"/>
      <c r="R8" s="44"/>
      <c r="S8" s="41"/>
      <c r="T8" s="42"/>
      <c r="U8" s="42"/>
      <c r="V8" s="39"/>
      <c r="W8" s="44"/>
      <c r="X8" s="44"/>
      <c r="Y8" s="63"/>
      <c r="Z8" s="50"/>
      <c r="AA8" s="31"/>
      <c r="AB8" s="31"/>
      <c r="AC8" s="31"/>
      <c r="AD8" s="41"/>
      <c r="AE8" s="41"/>
      <c r="AF8" s="64"/>
      <c r="AG8" s="41"/>
      <c r="AH8" s="60"/>
      <c r="AI8" s="31"/>
      <c r="AJ8" s="61"/>
      <c r="AK8" s="60"/>
      <c r="AL8" s="41"/>
      <c r="AM8" s="64"/>
      <c r="AN8" s="64"/>
      <c r="AO8" s="64"/>
      <c r="AP8" s="64"/>
      <c r="AQ8" s="64"/>
      <c r="AR8" s="64"/>
      <c r="AS8" s="64"/>
      <c r="AT8" s="64"/>
      <c r="AU8" s="64"/>
      <c r="AV8" s="39"/>
      <c r="AW8" s="41"/>
      <c r="AX8" s="41"/>
      <c r="AY8" s="65"/>
      <c r="AZ8" s="26" t="n">
        <f aca="false">SUM(C8:AY8)</f>
        <v>0</v>
      </c>
      <c r="BA8" s="37"/>
    </row>
    <row r="9" customFormat="false" ht="15" hidden="false" customHeight="false" outlineLevel="0" collapsed="false">
      <c r="A9" s="28" t="s">
        <v>64</v>
      </c>
      <c r="B9" s="29" t="s">
        <v>65</v>
      </c>
      <c r="C9" s="53"/>
      <c r="D9" s="50"/>
      <c r="E9" s="41"/>
      <c r="F9" s="42"/>
      <c r="G9" s="42"/>
      <c r="H9" s="42"/>
      <c r="I9" s="42"/>
      <c r="J9" s="41"/>
      <c r="K9" s="39"/>
      <c r="L9" s="39"/>
      <c r="M9" s="50"/>
      <c r="N9" s="42"/>
      <c r="O9" s="44"/>
      <c r="P9" s="44"/>
      <c r="Q9" s="50"/>
      <c r="R9" s="44"/>
      <c r="S9" s="41"/>
      <c r="T9" s="41"/>
      <c r="U9" s="42"/>
      <c r="V9" s="39"/>
      <c r="W9" s="44"/>
      <c r="X9" s="44"/>
      <c r="Y9" s="63"/>
      <c r="Z9" s="50"/>
      <c r="AA9" s="31"/>
      <c r="AB9" s="31"/>
      <c r="AC9" s="31"/>
      <c r="AD9" s="41"/>
      <c r="AE9" s="41"/>
      <c r="AF9" s="64"/>
      <c r="AG9" s="41"/>
      <c r="AH9" s="60"/>
      <c r="AI9" s="31"/>
      <c r="AJ9" s="61"/>
      <c r="AK9" s="60"/>
      <c r="AL9" s="41"/>
      <c r="AM9" s="64"/>
      <c r="AN9" s="64"/>
      <c r="AO9" s="64"/>
      <c r="AP9" s="64"/>
      <c r="AQ9" s="64"/>
      <c r="AR9" s="64"/>
      <c r="AS9" s="64"/>
      <c r="AT9" s="64"/>
      <c r="AU9" s="64"/>
      <c r="AV9" s="39"/>
      <c r="AW9" s="41"/>
      <c r="AX9" s="41"/>
      <c r="AY9" s="65"/>
      <c r="AZ9" s="26" t="n">
        <f aca="false">SUM(C9:AY9)</f>
        <v>0</v>
      </c>
      <c r="BA9" s="37"/>
    </row>
    <row r="10" customFormat="false" ht="15" hidden="false" customHeight="false" outlineLevel="0" collapsed="false">
      <c r="A10" s="28" t="s">
        <v>66</v>
      </c>
      <c r="B10" s="29" t="s">
        <v>67</v>
      </c>
      <c r="C10" s="53"/>
      <c r="D10" s="50"/>
      <c r="E10" s="41"/>
      <c r="F10" s="42"/>
      <c r="G10" s="42"/>
      <c r="H10" s="42"/>
      <c r="I10" s="42"/>
      <c r="J10" s="41"/>
      <c r="K10" s="39"/>
      <c r="L10" s="42"/>
      <c r="M10" s="50"/>
      <c r="N10" s="42"/>
      <c r="O10" s="44"/>
      <c r="P10" s="44"/>
      <c r="Q10" s="50"/>
      <c r="R10" s="44"/>
      <c r="S10" s="41"/>
      <c r="T10" s="41"/>
      <c r="U10" s="42"/>
      <c r="V10" s="39"/>
      <c r="W10" s="44"/>
      <c r="X10" s="44"/>
      <c r="Y10" s="63"/>
      <c r="Z10" s="50"/>
      <c r="AA10" s="31"/>
      <c r="AB10" s="31"/>
      <c r="AC10" s="31"/>
      <c r="AD10" s="41"/>
      <c r="AE10" s="41"/>
      <c r="AF10" s="64"/>
      <c r="AG10" s="41"/>
      <c r="AH10" s="60"/>
      <c r="AI10" s="31"/>
      <c r="AJ10" s="61"/>
      <c r="AK10" s="60"/>
      <c r="AL10" s="41"/>
      <c r="AM10" s="64"/>
      <c r="AN10" s="64"/>
      <c r="AO10" s="64"/>
      <c r="AP10" s="64"/>
      <c r="AQ10" s="64"/>
      <c r="AR10" s="64"/>
      <c r="AS10" s="64"/>
      <c r="AT10" s="64"/>
      <c r="AU10" s="64"/>
      <c r="AV10" s="39"/>
      <c r="AW10" s="41"/>
      <c r="AX10" s="41"/>
      <c r="AY10" s="65"/>
      <c r="AZ10" s="26" t="n">
        <f aca="false">SUM(C10:AY10)</f>
        <v>0</v>
      </c>
      <c r="BA10" s="37"/>
    </row>
    <row r="11" customFormat="false" ht="14.25" hidden="false" customHeight="false" outlineLevel="0" collapsed="false">
      <c r="A11" s="52" t="s">
        <v>68</v>
      </c>
      <c r="B11" s="29" t="s">
        <v>69</v>
      </c>
      <c r="C11" s="66" t="n">
        <v>3</v>
      </c>
      <c r="D11" s="67" t="n">
        <v>3</v>
      </c>
      <c r="E11" s="39"/>
      <c r="F11" s="39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40"/>
      <c r="X11" s="40"/>
      <c r="Y11" s="50"/>
      <c r="Z11" s="50"/>
      <c r="AA11" s="50"/>
      <c r="AB11" s="50"/>
      <c r="AC11" s="50"/>
      <c r="AD11" s="50"/>
      <c r="AE11" s="50"/>
      <c r="AF11" s="50"/>
      <c r="AG11" s="50"/>
      <c r="AH11" s="58"/>
      <c r="AI11" s="31"/>
      <c r="AJ11" s="59"/>
      <c r="AK11" s="58"/>
      <c r="AL11" s="50"/>
      <c r="AM11" s="50"/>
      <c r="AN11" s="50"/>
      <c r="AO11" s="50"/>
      <c r="AP11" s="50"/>
      <c r="AQ11" s="50"/>
      <c r="AR11" s="50"/>
      <c r="AS11" s="50"/>
      <c r="AT11" s="50"/>
      <c r="AU11" s="50"/>
      <c r="AV11" s="50"/>
      <c r="AW11" s="39"/>
      <c r="AX11" s="39"/>
      <c r="AY11" s="68"/>
      <c r="AZ11" s="26" t="n">
        <f aca="false">SUM(C11:AY11)</f>
        <v>6</v>
      </c>
      <c r="BA11" s="69"/>
    </row>
    <row r="12" customFormat="false" ht="15" hidden="false" customHeight="false" outlineLevel="0" collapsed="false">
      <c r="A12" s="52" t="s">
        <v>70</v>
      </c>
      <c r="B12" s="29" t="s">
        <v>71</v>
      </c>
      <c r="C12" s="70"/>
      <c r="D12" s="50"/>
      <c r="E12" s="50"/>
      <c r="F12" s="50"/>
      <c r="G12" s="50"/>
      <c r="H12" s="41"/>
      <c r="I12" s="41"/>
      <c r="J12" s="50"/>
      <c r="K12" s="50"/>
      <c r="L12" s="31"/>
      <c r="M12" s="31"/>
      <c r="N12" s="50"/>
      <c r="O12" s="50"/>
      <c r="P12" s="50"/>
      <c r="Q12" s="50"/>
      <c r="R12" s="31"/>
      <c r="S12" s="50"/>
      <c r="T12" s="50"/>
      <c r="U12" s="50"/>
      <c r="V12" s="50"/>
      <c r="W12" s="57"/>
      <c r="X12" s="57"/>
      <c r="Y12" s="50"/>
      <c r="Z12" s="50"/>
      <c r="AA12" s="39"/>
      <c r="AB12" s="39"/>
      <c r="AC12" s="39"/>
      <c r="AD12" s="50"/>
      <c r="AE12" s="50"/>
      <c r="AF12" s="50"/>
      <c r="AG12" s="50"/>
      <c r="AH12" s="50"/>
      <c r="AI12" s="31"/>
      <c r="AJ12" s="50"/>
      <c r="AK12" s="50"/>
      <c r="AL12" s="50"/>
      <c r="AM12" s="50"/>
      <c r="AN12" s="50"/>
      <c r="AO12" s="50"/>
      <c r="AP12" s="50"/>
      <c r="AQ12" s="50"/>
      <c r="AR12" s="50"/>
      <c r="AS12" s="50"/>
      <c r="AT12" s="50"/>
      <c r="AU12" s="50"/>
      <c r="AV12" s="50"/>
      <c r="AW12" s="50"/>
      <c r="AX12" s="50"/>
      <c r="AY12" s="51"/>
      <c r="AZ12" s="26" t="n">
        <f aca="false">SUM(C12:AY12)</f>
        <v>0</v>
      </c>
      <c r="BA12" s="37"/>
    </row>
    <row r="13" customFormat="false" ht="15" hidden="false" customHeight="false" outlineLevel="0" collapsed="false">
      <c r="A13" s="52" t="s">
        <v>72</v>
      </c>
      <c r="B13" s="29" t="s">
        <v>73</v>
      </c>
      <c r="C13" s="53"/>
      <c r="D13" s="50"/>
      <c r="E13" s="50"/>
      <c r="F13" s="31"/>
      <c r="G13" s="41"/>
      <c r="H13" s="32" t="n">
        <v>2</v>
      </c>
      <c r="I13" s="41"/>
      <c r="J13" s="41"/>
      <c r="K13" s="42"/>
      <c r="M13" s="50"/>
      <c r="N13" s="50"/>
      <c r="O13" s="50"/>
      <c r="P13" s="50"/>
      <c r="Q13" s="50"/>
      <c r="R13" s="41"/>
      <c r="S13" s="41"/>
      <c r="T13" s="41"/>
      <c r="U13" s="32" t="n">
        <v>5</v>
      </c>
      <c r="V13" s="71"/>
      <c r="W13" s="40"/>
      <c r="X13" s="40"/>
      <c r="Y13" s="50"/>
      <c r="Z13" s="50"/>
      <c r="AA13" s="41"/>
      <c r="AB13" s="41"/>
      <c r="AC13" s="41"/>
      <c r="AD13" s="41"/>
      <c r="AE13" s="41"/>
      <c r="AF13" s="50"/>
      <c r="AG13" s="41"/>
      <c r="AH13" s="60"/>
      <c r="AI13" s="31"/>
      <c r="AJ13" s="61"/>
      <c r="AK13" s="60"/>
      <c r="AL13" s="41"/>
      <c r="AM13" s="50"/>
      <c r="AN13" s="50"/>
      <c r="AO13" s="50"/>
      <c r="AP13" s="50"/>
      <c r="AQ13" s="50"/>
      <c r="AR13" s="50"/>
      <c r="AS13" s="50"/>
      <c r="AT13" s="50"/>
      <c r="AU13" s="50"/>
      <c r="AV13" s="50"/>
      <c r="AW13" s="50"/>
      <c r="AX13" s="50"/>
      <c r="AY13" s="51"/>
      <c r="AZ13" s="26" t="n">
        <f aca="false">SUM(C13:AY13)</f>
        <v>7</v>
      </c>
      <c r="BA13" s="69"/>
    </row>
    <row r="14" customFormat="false" ht="14.25" hidden="false" customHeight="false" outlineLevel="0" collapsed="false">
      <c r="A14" s="52" t="s">
        <v>74</v>
      </c>
      <c r="B14" s="29" t="s">
        <v>75</v>
      </c>
      <c r="C14" s="53"/>
      <c r="D14" s="50"/>
      <c r="E14" s="50"/>
      <c r="F14" s="50"/>
      <c r="G14" s="50"/>
      <c r="H14" s="50"/>
      <c r="I14" s="50"/>
      <c r="J14" s="41"/>
      <c r="K14" s="50"/>
      <c r="L14" s="50"/>
      <c r="M14" s="50"/>
      <c r="N14" s="50"/>
      <c r="O14" s="50"/>
      <c r="P14" s="50"/>
      <c r="Q14" s="50"/>
      <c r="R14" s="41"/>
      <c r="S14" s="41"/>
      <c r="T14" s="41"/>
      <c r="U14" s="41"/>
      <c r="V14" s="41"/>
      <c r="W14" s="40"/>
      <c r="X14" s="40"/>
      <c r="Y14" s="50"/>
      <c r="Z14" s="50"/>
      <c r="AA14" s="50"/>
      <c r="AB14" s="50"/>
      <c r="AC14" s="50"/>
      <c r="AD14" s="41"/>
      <c r="AE14" s="41"/>
      <c r="AF14" s="50"/>
      <c r="AG14" s="41"/>
      <c r="AH14" s="60"/>
      <c r="AI14" s="31"/>
      <c r="AJ14" s="61"/>
      <c r="AK14" s="60"/>
      <c r="AL14" s="41"/>
      <c r="AM14" s="50"/>
      <c r="AN14" s="50"/>
      <c r="AO14" s="50"/>
      <c r="AP14" s="50"/>
      <c r="AQ14" s="50"/>
      <c r="AR14" s="50"/>
      <c r="AS14" s="50"/>
      <c r="AT14" s="50"/>
      <c r="AU14" s="50"/>
      <c r="AV14" s="50"/>
      <c r="AW14" s="50"/>
      <c r="AX14" s="50"/>
      <c r="AY14" s="51"/>
      <c r="AZ14" s="26" t="n">
        <f aca="false">SUM(C14:AY14)</f>
        <v>0</v>
      </c>
      <c r="BA14" s="37"/>
    </row>
    <row r="15" customFormat="false" ht="15" hidden="false" customHeight="false" outlineLevel="0" collapsed="false">
      <c r="A15" s="52" t="s">
        <v>76</v>
      </c>
      <c r="B15" s="29" t="s">
        <v>77</v>
      </c>
      <c r="C15" s="53"/>
      <c r="D15" s="50"/>
      <c r="E15" s="50"/>
      <c r="F15" s="50"/>
      <c r="G15" s="50"/>
      <c r="H15" s="33"/>
      <c r="I15" s="41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42"/>
      <c r="X15" s="42"/>
      <c r="Y15" s="50"/>
      <c r="Z15" s="50"/>
      <c r="AA15" s="41"/>
      <c r="AB15" s="41"/>
      <c r="AC15" s="41"/>
      <c r="AD15" s="50"/>
      <c r="AE15" s="50"/>
      <c r="AF15" s="50"/>
      <c r="AG15" s="50"/>
      <c r="AH15" s="58"/>
      <c r="AI15" s="31"/>
      <c r="AJ15" s="59"/>
      <c r="AK15" s="58"/>
      <c r="AL15" s="50"/>
      <c r="AM15" s="50"/>
      <c r="AN15" s="50"/>
      <c r="AO15" s="50"/>
      <c r="AP15" s="50"/>
      <c r="AQ15" s="50"/>
      <c r="AR15" s="50"/>
      <c r="AS15" s="50"/>
      <c r="AT15" s="50"/>
      <c r="AU15" s="50"/>
      <c r="AV15" s="50"/>
      <c r="AW15" s="50"/>
      <c r="AX15" s="50"/>
      <c r="AY15" s="51"/>
      <c r="AZ15" s="26" t="n">
        <f aca="false">SUM(C15:AY15)</f>
        <v>0</v>
      </c>
      <c r="BA15" s="69"/>
    </row>
    <row r="16" customFormat="false" ht="15" hidden="false" customHeight="false" outlineLevel="0" collapsed="false">
      <c r="A16" s="52" t="s">
        <v>78</v>
      </c>
      <c r="B16" s="29" t="s">
        <v>79</v>
      </c>
      <c r="C16" s="53"/>
      <c r="D16" s="50"/>
      <c r="E16" s="44"/>
      <c r="F16" s="39"/>
      <c r="G16" s="50"/>
      <c r="H16" s="32" t="n">
        <v>1</v>
      </c>
      <c r="I16" s="41"/>
      <c r="J16" s="50"/>
      <c r="K16" s="32" t="n">
        <v>1</v>
      </c>
      <c r="L16" s="50"/>
      <c r="M16" s="50"/>
      <c r="N16" s="50"/>
      <c r="O16" s="50"/>
      <c r="P16" s="50"/>
      <c r="Q16" s="50"/>
      <c r="R16" s="50"/>
      <c r="S16" s="50"/>
      <c r="T16" s="50"/>
      <c r="U16" s="41"/>
      <c r="V16" s="41"/>
      <c r="W16" s="41"/>
      <c r="X16" s="41"/>
      <c r="Y16" s="50"/>
      <c r="Z16" s="50"/>
      <c r="AA16" s="41"/>
      <c r="AB16" s="41"/>
      <c r="AC16" s="41"/>
      <c r="AD16" s="41"/>
      <c r="AE16" s="41"/>
      <c r="AF16" s="50"/>
      <c r="AG16" s="41"/>
      <c r="AH16" s="60"/>
      <c r="AI16" s="31"/>
      <c r="AJ16" s="61"/>
      <c r="AK16" s="60"/>
      <c r="AL16" s="41"/>
      <c r="AM16" s="50"/>
      <c r="AN16" s="50"/>
      <c r="AO16" s="50"/>
      <c r="AP16" s="50"/>
      <c r="AQ16" s="50"/>
      <c r="AR16" s="50"/>
      <c r="AS16" s="50"/>
      <c r="AT16" s="50"/>
      <c r="AU16" s="50"/>
      <c r="AV16" s="50"/>
      <c r="AW16" s="50"/>
      <c r="AX16" s="50"/>
      <c r="AY16" s="51"/>
      <c r="AZ16" s="26" t="n">
        <f aca="false">SUM(C16:AY16)</f>
        <v>2</v>
      </c>
      <c r="BA16" s="69"/>
    </row>
    <row r="17" customFormat="false" ht="15" hidden="false" customHeight="false" outlineLevel="0" collapsed="false">
      <c r="A17" s="52" t="s">
        <v>80</v>
      </c>
      <c r="B17" s="29" t="s">
        <v>81</v>
      </c>
      <c r="C17" s="72"/>
      <c r="D17" s="50"/>
      <c r="E17" s="50"/>
      <c r="F17" s="50"/>
      <c r="G17" s="50"/>
      <c r="H17" s="73" t="n">
        <v>1</v>
      </c>
      <c r="I17" s="55" t="n">
        <v>1</v>
      </c>
      <c r="J17" s="50"/>
      <c r="K17" s="74"/>
      <c r="L17" s="41"/>
      <c r="M17" s="50"/>
      <c r="N17" s="50"/>
      <c r="O17" s="50"/>
      <c r="P17" s="50"/>
      <c r="Q17" s="50"/>
      <c r="R17" s="50"/>
      <c r="S17" s="50"/>
      <c r="T17" s="50"/>
      <c r="U17" s="41"/>
      <c r="V17" s="41"/>
      <c r="W17" s="40"/>
      <c r="X17" s="40"/>
      <c r="Y17" s="50"/>
      <c r="Z17" s="50"/>
      <c r="AA17" s="41"/>
      <c r="AB17" s="41"/>
      <c r="AC17" s="41"/>
      <c r="AD17" s="50"/>
      <c r="AE17" s="50"/>
      <c r="AF17" s="50"/>
      <c r="AG17" s="50"/>
      <c r="AH17" s="58"/>
      <c r="AI17" s="31"/>
      <c r="AJ17" s="59"/>
      <c r="AK17" s="58"/>
      <c r="AL17" s="50"/>
      <c r="AM17" s="50"/>
      <c r="AN17" s="50"/>
      <c r="AO17" s="50"/>
      <c r="AP17" s="50"/>
      <c r="AQ17" s="50"/>
      <c r="AR17" s="50"/>
      <c r="AS17" s="50"/>
      <c r="AT17" s="50"/>
      <c r="AU17" s="50"/>
      <c r="AV17" s="50"/>
      <c r="AW17" s="50"/>
      <c r="AX17" s="50"/>
      <c r="AY17" s="51"/>
      <c r="AZ17" s="26" t="n">
        <f aca="false">SUM(C17:AY17)</f>
        <v>2</v>
      </c>
      <c r="BA17" s="69"/>
    </row>
    <row r="18" customFormat="false" ht="14.25" hidden="false" customHeight="false" outlineLevel="0" collapsed="false">
      <c r="A18" s="52" t="s">
        <v>82</v>
      </c>
      <c r="B18" s="29" t="s">
        <v>83</v>
      </c>
      <c r="C18" s="72"/>
      <c r="D18" s="50"/>
      <c r="E18" s="50"/>
      <c r="F18" s="41"/>
      <c r="G18" s="50"/>
      <c r="H18" s="41"/>
      <c r="I18" s="41"/>
      <c r="J18" s="50"/>
      <c r="K18" s="41"/>
      <c r="L18" s="41"/>
      <c r="M18" s="50"/>
      <c r="N18" s="50"/>
      <c r="O18" s="50"/>
      <c r="P18" s="50"/>
      <c r="Q18" s="50"/>
      <c r="R18" s="41"/>
      <c r="S18" s="50"/>
      <c r="T18" s="50"/>
      <c r="U18" s="41"/>
      <c r="V18" s="50"/>
      <c r="W18" s="40"/>
      <c r="X18" s="40"/>
      <c r="Y18" s="50"/>
      <c r="Z18" s="50"/>
      <c r="AA18" s="41"/>
      <c r="AB18" s="41"/>
      <c r="AC18" s="41"/>
      <c r="AD18" s="50"/>
      <c r="AE18" s="50"/>
      <c r="AF18" s="50"/>
      <c r="AG18" s="50"/>
      <c r="AH18" s="58"/>
      <c r="AI18" s="31"/>
      <c r="AJ18" s="59"/>
      <c r="AK18" s="58"/>
      <c r="AL18" s="50"/>
      <c r="AM18" s="50"/>
      <c r="AN18" s="50"/>
      <c r="AO18" s="50"/>
      <c r="AP18" s="50"/>
      <c r="AQ18" s="50"/>
      <c r="AR18" s="50"/>
      <c r="AS18" s="50"/>
      <c r="AT18" s="50"/>
      <c r="AU18" s="50"/>
      <c r="AV18" s="50"/>
      <c r="AW18" s="50"/>
      <c r="AX18" s="50"/>
      <c r="AY18" s="51"/>
      <c r="AZ18" s="26" t="n">
        <f aca="false">SUM(C18:AY18)</f>
        <v>0</v>
      </c>
      <c r="BA18" s="69"/>
    </row>
    <row r="19" customFormat="false" ht="14.25" hidden="false" customHeight="false" outlineLevel="0" collapsed="false">
      <c r="A19" s="52" t="s">
        <v>84</v>
      </c>
      <c r="B19" s="29" t="s">
        <v>85</v>
      </c>
      <c r="C19" s="53"/>
      <c r="D19" s="50"/>
      <c r="E19" s="50"/>
      <c r="F19" s="50"/>
      <c r="G19" s="50"/>
      <c r="H19" s="41"/>
      <c r="I19" s="50"/>
      <c r="J19" s="41"/>
      <c r="K19" s="50"/>
      <c r="L19" s="41"/>
      <c r="M19" s="50"/>
      <c r="N19" s="50"/>
      <c r="O19" s="50"/>
      <c r="P19" s="50"/>
      <c r="Q19" s="50"/>
      <c r="R19" s="50"/>
      <c r="S19" s="41"/>
      <c r="T19" s="41"/>
      <c r="U19" s="50"/>
      <c r="V19" s="50"/>
      <c r="W19" s="33"/>
      <c r="X19" s="33"/>
      <c r="Y19" s="50"/>
      <c r="Z19" s="50"/>
      <c r="AA19" s="50"/>
      <c r="AB19" s="50"/>
      <c r="AC19" s="50"/>
      <c r="AD19" s="50"/>
      <c r="AE19" s="50"/>
      <c r="AF19" s="50"/>
      <c r="AG19" s="50"/>
      <c r="AH19" s="58"/>
      <c r="AI19" s="31"/>
      <c r="AJ19" s="59"/>
      <c r="AK19" s="58"/>
      <c r="AL19" s="50"/>
      <c r="AM19" s="50"/>
      <c r="AN19" s="50"/>
      <c r="AO19" s="50"/>
      <c r="AP19" s="50"/>
      <c r="AQ19" s="50"/>
      <c r="AR19" s="50"/>
      <c r="AS19" s="50"/>
      <c r="AT19" s="50"/>
      <c r="AU19" s="50"/>
      <c r="AV19" s="50"/>
      <c r="AW19" s="50"/>
      <c r="AX19" s="50"/>
      <c r="AY19" s="51"/>
      <c r="AZ19" s="26" t="n">
        <f aca="false">SUM(C19:AY19)</f>
        <v>0</v>
      </c>
      <c r="BA19" s="37"/>
    </row>
    <row r="20" customFormat="false" ht="14.25" hidden="false" customHeight="false" outlineLevel="0" collapsed="false">
      <c r="A20" s="52" t="s">
        <v>86</v>
      </c>
      <c r="B20" s="29" t="s">
        <v>87</v>
      </c>
      <c r="C20" s="53"/>
      <c r="D20" s="50"/>
      <c r="E20" s="50"/>
      <c r="F20" s="50"/>
      <c r="G20" s="39"/>
      <c r="H20" s="41"/>
      <c r="I20" s="75"/>
      <c r="J20" s="41"/>
      <c r="K20" s="50"/>
      <c r="L20" s="50"/>
      <c r="M20" s="50"/>
      <c r="N20" s="50"/>
      <c r="O20" s="50"/>
      <c r="P20" s="50"/>
      <c r="Q20" s="50"/>
      <c r="R20" s="50"/>
      <c r="S20" s="41"/>
      <c r="T20" s="41"/>
      <c r="U20" s="50"/>
      <c r="V20" s="50"/>
      <c r="W20" s="40"/>
      <c r="X20" s="40"/>
      <c r="Y20" s="50"/>
      <c r="Z20" s="50"/>
      <c r="AA20" s="50"/>
      <c r="AB20" s="50"/>
      <c r="AC20" s="50"/>
      <c r="AD20" s="50"/>
      <c r="AE20" s="50"/>
      <c r="AF20" s="50"/>
      <c r="AG20" s="50"/>
      <c r="AH20" s="50"/>
      <c r="AI20" s="31"/>
      <c r="AJ20" s="50"/>
      <c r="AK20" s="50"/>
      <c r="AL20" s="50"/>
      <c r="AM20" s="50"/>
      <c r="AN20" s="50"/>
      <c r="AO20" s="50"/>
      <c r="AP20" s="50"/>
      <c r="AQ20" s="50"/>
      <c r="AR20" s="50"/>
      <c r="AS20" s="50"/>
      <c r="AT20" s="50"/>
      <c r="AU20" s="50"/>
      <c r="AV20" s="50"/>
      <c r="AW20" s="50"/>
      <c r="AX20" s="50"/>
      <c r="AY20" s="51"/>
      <c r="AZ20" s="26" t="n">
        <f aca="false">SUM(C20:AY20)</f>
        <v>0</v>
      </c>
      <c r="BA20" s="37"/>
    </row>
    <row r="21" customFormat="false" ht="15" hidden="false" customHeight="false" outlineLevel="0" collapsed="false">
      <c r="A21" s="52" t="s">
        <v>88</v>
      </c>
      <c r="B21" s="29" t="s">
        <v>89</v>
      </c>
      <c r="C21" s="53"/>
      <c r="D21" s="50"/>
      <c r="E21" s="50"/>
      <c r="F21" s="50"/>
      <c r="G21" s="39"/>
      <c r="H21" s="42"/>
      <c r="I21" s="42"/>
      <c r="J21" s="41"/>
      <c r="K21" s="50"/>
      <c r="L21" s="50"/>
      <c r="M21" s="50"/>
      <c r="N21" s="50"/>
      <c r="O21" s="50"/>
      <c r="P21" s="50"/>
      <c r="Q21" s="50"/>
      <c r="R21" s="42"/>
      <c r="S21" s="41"/>
      <c r="T21" s="41"/>
      <c r="U21" s="50"/>
      <c r="V21" s="50"/>
      <c r="W21" s="40"/>
      <c r="X21" s="40"/>
      <c r="Y21" s="50"/>
      <c r="Z21" s="50"/>
      <c r="AA21" s="50"/>
      <c r="AB21" s="50"/>
      <c r="AC21" s="50"/>
      <c r="AD21" s="50"/>
      <c r="AE21" s="50"/>
      <c r="AF21" s="50"/>
      <c r="AG21" s="50"/>
      <c r="AH21" s="50"/>
      <c r="AI21" s="31"/>
      <c r="AJ21" s="50"/>
      <c r="AK21" s="50"/>
      <c r="AL21" s="50"/>
      <c r="AM21" s="50"/>
      <c r="AN21" s="50"/>
      <c r="AO21" s="50"/>
      <c r="AP21" s="50"/>
      <c r="AQ21" s="50"/>
      <c r="AR21" s="50"/>
      <c r="AS21" s="50"/>
      <c r="AT21" s="50"/>
      <c r="AU21" s="50"/>
      <c r="AV21" s="50"/>
      <c r="AW21" s="50"/>
      <c r="AX21" s="50"/>
      <c r="AY21" s="51"/>
      <c r="AZ21" s="26" t="n">
        <f aca="false">SUM(C21:AY21)</f>
        <v>0</v>
      </c>
      <c r="BA21" s="37"/>
    </row>
    <row r="22" customFormat="false" ht="15" hidden="false" customHeight="false" outlineLevel="0" collapsed="false">
      <c r="A22" s="52" t="s">
        <v>90</v>
      </c>
      <c r="B22" s="29" t="s">
        <v>91</v>
      </c>
      <c r="C22" s="53"/>
      <c r="D22" s="50"/>
      <c r="E22" s="50"/>
      <c r="F22" s="50"/>
      <c r="G22" s="50"/>
      <c r="H22" s="41"/>
      <c r="I22" s="74"/>
      <c r="J22" s="50"/>
      <c r="K22" s="50"/>
      <c r="L22" s="41"/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42"/>
      <c r="X22" s="42"/>
      <c r="Y22" s="50"/>
      <c r="Z22" s="50"/>
      <c r="AA22" s="41"/>
      <c r="AB22" s="41"/>
      <c r="AC22" s="41"/>
      <c r="AD22" s="50"/>
      <c r="AE22" s="50"/>
      <c r="AF22" s="50"/>
      <c r="AG22" s="50"/>
      <c r="AH22" s="50"/>
      <c r="AI22" s="31"/>
      <c r="AJ22" s="50"/>
      <c r="AK22" s="50"/>
      <c r="AL22" s="50"/>
      <c r="AM22" s="50"/>
      <c r="AN22" s="50"/>
      <c r="AO22" s="50"/>
      <c r="AP22" s="50"/>
      <c r="AQ22" s="50"/>
      <c r="AR22" s="50"/>
      <c r="AS22" s="50"/>
      <c r="AT22" s="50"/>
      <c r="AU22" s="50"/>
      <c r="AV22" s="50"/>
      <c r="AW22" s="50"/>
      <c r="AX22" s="50"/>
      <c r="AY22" s="51"/>
      <c r="AZ22" s="26" t="n">
        <f aca="false">SUM(C22:AY22)</f>
        <v>0</v>
      </c>
      <c r="BA22" s="37"/>
    </row>
    <row r="23" customFormat="false" ht="15" hidden="false" customHeight="false" outlineLevel="0" collapsed="false">
      <c r="A23" s="52" t="s">
        <v>92</v>
      </c>
      <c r="B23" s="29" t="s">
        <v>93</v>
      </c>
      <c r="C23" s="76"/>
      <c r="D23" s="50"/>
      <c r="E23" s="50"/>
      <c r="F23" s="50"/>
      <c r="G23" s="50"/>
      <c r="H23" s="50" t="s">
        <v>94</v>
      </c>
      <c r="I23" s="50"/>
      <c r="J23" s="41"/>
      <c r="K23" s="50"/>
      <c r="L23" s="50"/>
      <c r="M23" s="50"/>
      <c r="N23" s="50"/>
      <c r="O23" s="50"/>
      <c r="P23" s="50"/>
      <c r="Q23" s="50"/>
      <c r="R23" s="50"/>
      <c r="S23" s="41"/>
      <c r="T23" s="50"/>
      <c r="U23" s="74"/>
      <c r="V23" s="74"/>
      <c r="W23" s="40"/>
      <c r="X23" s="40"/>
      <c r="Y23" s="50"/>
      <c r="Z23" s="50"/>
      <c r="AA23" s="42"/>
      <c r="AB23" s="42"/>
      <c r="AC23" s="42"/>
      <c r="AD23" s="50"/>
      <c r="AE23" s="50"/>
      <c r="AF23" s="50"/>
      <c r="AG23" s="50"/>
      <c r="AH23" s="50"/>
      <c r="AI23" s="31"/>
      <c r="AJ23" s="50"/>
      <c r="AK23" s="50"/>
      <c r="AL23" s="50"/>
      <c r="AM23" s="50"/>
      <c r="AN23" s="50"/>
      <c r="AO23" s="50"/>
      <c r="AP23" s="50"/>
      <c r="AQ23" s="50"/>
      <c r="AR23" s="50"/>
      <c r="AS23" s="50"/>
      <c r="AT23" s="50"/>
      <c r="AU23" s="50"/>
      <c r="AV23" s="50"/>
      <c r="AW23" s="50"/>
      <c r="AX23" s="50"/>
      <c r="AY23" s="51"/>
      <c r="AZ23" s="26" t="n">
        <f aca="false">SUM(C23:AY23)</f>
        <v>0</v>
      </c>
      <c r="BA23" s="37"/>
    </row>
    <row r="24" customFormat="false" ht="14.25" hidden="false" customHeight="false" outlineLevel="0" collapsed="false">
      <c r="A24" s="52" t="s">
        <v>95</v>
      </c>
      <c r="B24" s="29" t="s">
        <v>96</v>
      </c>
      <c r="C24" s="76"/>
      <c r="D24" s="31"/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  <c r="AE24" s="31"/>
      <c r="AF24" s="31"/>
      <c r="AG24" s="31"/>
      <c r="AH24" s="31"/>
      <c r="AI24" s="31"/>
      <c r="AJ24" s="31"/>
      <c r="AK24" s="31"/>
      <c r="AL24" s="31"/>
      <c r="AM24" s="31"/>
      <c r="AN24" s="43"/>
      <c r="AO24" s="50"/>
      <c r="AP24" s="50"/>
      <c r="AQ24" s="50"/>
      <c r="AR24" s="50"/>
      <c r="AS24" s="50"/>
      <c r="AT24" s="50"/>
      <c r="AU24" s="50"/>
      <c r="AV24" s="50"/>
      <c r="AW24" s="41"/>
      <c r="AX24" s="41"/>
      <c r="AY24" s="65"/>
      <c r="AZ24" s="26" t="n">
        <f aca="false">SUM(C24:AY24)</f>
        <v>0</v>
      </c>
      <c r="BA24" s="37"/>
    </row>
    <row r="25" customFormat="false" ht="15" hidden="false" customHeight="false" outlineLevel="0" collapsed="false">
      <c r="A25" s="38" t="s">
        <v>97</v>
      </c>
      <c r="B25" s="29" t="s">
        <v>98</v>
      </c>
      <c r="C25" s="53"/>
      <c r="D25" s="41"/>
      <c r="E25" s="41"/>
      <c r="F25" s="41"/>
      <c r="G25" s="41"/>
      <c r="H25" s="44"/>
      <c r="I25" s="41" t="n">
        <v>1</v>
      </c>
      <c r="J25" s="41"/>
      <c r="K25" s="41"/>
      <c r="L25" s="41"/>
      <c r="M25" s="50"/>
      <c r="N25" s="50"/>
      <c r="O25" s="50"/>
      <c r="P25" s="50"/>
      <c r="Q25" s="50"/>
      <c r="R25" s="41"/>
      <c r="S25" s="41"/>
      <c r="T25" s="41"/>
      <c r="U25" s="50"/>
      <c r="V25" s="50"/>
      <c r="W25" s="40"/>
      <c r="X25" s="40"/>
      <c r="Y25" s="50"/>
      <c r="Z25" s="50"/>
      <c r="AA25" s="41"/>
      <c r="AB25" s="41"/>
      <c r="AC25" s="41"/>
      <c r="AD25" s="50"/>
      <c r="AE25" s="50"/>
      <c r="AF25" s="50"/>
      <c r="AG25" s="50"/>
      <c r="AH25" s="50"/>
      <c r="AI25" s="31"/>
      <c r="AJ25" s="50"/>
      <c r="AK25" s="50"/>
      <c r="AL25" s="50"/>
      <c r="AM25" s="50"/>
      <c r="AN25" s="50"/>
      <c r="AO25" s="41"/>
      <c r="AP25" s="41"/>
      <c r="AQ25" s="41"/>
      <c r="AR25" s="41"/>
      <c r="AS25" s="41"/>
      <c r="AT25" s="41"/>
      <c r="AU25" s="31"/>
      <c r="AV25" s="74"/>
      <c r="AW25" s="41"/>
      <c r="AX25" s="41"/>
      <c r="AY25" s="65"/>
      <c r="AZ25" s="26" t="n">
        <f aca="false">SUM(C25:AY25)</f>
        <v>1</v>
      </c>
      <c r="BA25" s="37"/>
    </row>
    <row r="26" customFormat="false" ht="15" hidden="false" customHeight="false" outlineLevel="0" collapsed="false">
      <c r="A26" s="38" t="s">
        <v>99</v>
      </c>
      <c r="B26" s="29" t="s">
        <v>100</v>
      </c>
      <c r="C26" s="49"/>
      <c r="D26" s="41"/>
      <c r="E26" s="31"/>
      <c r="F26" s="42"/>
      <c r="G26" s="42"/>
      <c r="H26" s="42"/>
      <c r="I26" s="42" t="n">
        <v>1</v>
      </c>
      <c r="J26" s="41"/>
      <c r="K26" s="42"/>
      <c r="L26" s="41"/>
      <c r="M26" s="50"/>
      <c r="N26" s="50"/>
      <c r="O26" s="39"/>
      <c r="P26" s="39"/>
      <c r="Q26" s="50"/>
      <c r="R26" s="44"/>
      <c r="S26" s="41"/>
      <c r="T26" s="41"/>
      <c r="U26" s="41"/>
      <c r="V26" s="41"/>
      <c r="W26" s="41"/>
      <c r="X26" s="40"/>
      <c r="Y26" s="50"/>
      <c r="Z26" s="50"/>
      <c r="AA26" s="31"/>
      <c r="AB26" s="31"/>
      <c r="AC26" s="31"/>
      <c r="AD26" s="39"/>
      <c r="AE26" s="39"/>
      <c r="AF26" s="41"/>
      <c r="AG26" s="39"/>
      <c r="AH26" s="31"/>
      <c r="AI26" s="31"/>
      <c r="AJ26" s="39"/>
      <c r="AK26" s="39"/>
      <c r="AL26" s="39"/>
      <c r="AM26" s="41"/>
      <c r="AN26" s="41"/>
      <c r="AO26" s="41"/>
      <c r="AP26" s="41"/>
      <c r="AQ26" s="41"/>
      <c r="AR26" s="41"/>
      <c r="AS26" s="41"/>
      <c r="AT26" s="41"/>
      <c r="AU26" s="31"/>
      <c r="AV26" s="74"/>
      <c r="AW26" s="41"/>
      <c r="AX26" s="41"/>
      <c r="AY26" s="65"/>
      <c r="AZ26" s="26" t="n">
        <f aca="false">SUM(C26:AY26)</f>
        <v>1</v>
      </c>
      <c r="BA26" s="37"/>
    </row>
    <row r="27" customFormat="false" ht="14.25" hidden="false" customHeight="false" outlineLevel="0" collapsed="false">
      <c r="A27" s="38" t="s">
        <v>101</v>
      </c>
      <c r="B27" s="29" t="s">
        <v>102</v>
      </c>
      <c r="C27" s="77"/>
      <c r="D27" s="41"/>
      <c r="E27" s="41"/>
      <c r="F27" s="41"/>
      <c r="G27" s="41"/>
      <c r="H27" s="41"/>
      <c r="I27" s="41"/>
      <c r="J27" s="41"/>
      <c r="K27" s="41"/>
      <c r="L27" s="41"/>
      <c r="M27" s="50"/>
      <c r="N27" s="41"/>
      <c r="O27" s="39"/>
      <c r="P27" s="39"/>
      <c r="Q27" s="50"/>
      <c r="R27" s="41"/>
      <c r="S27" s="41"/>
      <c r="T27" s="41"/>
      <c r="U27" s="41"/>
      <c r="V27" s="41"/>
      <c r="W27" s="41"/>
      <c r="X27" s="40"/>
      <c r="Y27" s="50"/>
      <c r="Z27" s="50"/>
      <c r="AA27" s="31"/>
      <c r="AB27" s="31"/>
      <c r="AC27" s="31"/>
      <c r="AD27" s="39"/>
      <c r="AE27" s="39"/>
      <c r="AF27" s="41"/>
      <c r="AG27" s="39"/>
      <c r="AH27" s="31"/>
      <c r="AI27" s="31"/>
      <c r="AJ27" s="39"/>
      <c r="AK27" s="39"/>
      <c r="AL27" s="39"/>
      <c r="AM27" s="41"/>
      <c r="AN27" s="41"/>
      <c r="AO27" s="39"/>
      <c r="AP27" s="39"/>
      <c r="AQ27" s="39"/>
      <c r="AR27" s="39"/>
      <c r="AS27" s="39"/>
      <c r="AT27" s="39"/>
      <c r="AU27" s="39"/>
      <c r="AV27" s="39"/>
      <c r="AW27" s="33"/>
      <c r="AX27" s="33"/>
      <c r="AY27" s="78"/>
      <c r="AZ27" s="26" t="n">
        <f aca="false">SUM(C27:AY27)</f>
        <v>0</v>
      </c>
      <c r="BA27" s="37"/>
    </row>
    <row r="28" customFormat="false" ht="14.25" hidden="false" customHeight="false" outlineLevel="0" collapsed="false">
      <c r="A28" s="52" t="s">
        <v>103</v>
      </c>
      <c r="B28" s="29" t="s">
        <v>104</v>
      </c>
      <c r="C28" s="49"/>
      <c r="D28" s="33"/>
      <c r="E28" s="41"/>
      <c r="F28" s="41"/>
      <c r="G28" s="41"/>
      <c r="H28" s="41"/>
      <c r="I28" s="41"/>
      <c r="J28" s="41"/>
      <c r="K28" s="41"/>
      <c r="L28" s="41"/>
      <c r="M28" s="50"/>
      <c r="N28" s="41"/>
      <c r="O28" s="41"/>
      <c r="P28" s="41"/>
      <c r="Q28" s="50"/>
      <c r="R28" s="31"/>
      <c r="S28" s="41"/>
      <c r="T28" s="41"/>
      <c r="U28" s="39"/>
      <c r="V28" s="39"/>
      <c r="W28" s="57"/>
      <c r="X28" s="57"/>
      <c r="Y28" s="50"/>
      <c r="Z28" s="50"/>
      <c r="AA28" s="31"/>
      <c r="AB28" s="31"/>
      <c r="AC28" s="31"/>
      <c r="AD28" s="39"/>
      <c r="AE28" s="39"/>
      <c r="AF28" s="39"/>
      <c r="AG28" s="39"/>
      <c r="AH28" s="39"/>
      <c r="AI28" s="31"/>
      <c r="AJ28" s="39"/>
      <c r="AK28" s="31"/>
      <c r="AL28" s="31"/>
      <c r="AM28" s="39"/>
      <c r="AN28" s="39"/>
      <c r="AO28" s="39"/>
      <c r="AP28" s="39"/>
      <c r="AQ28" s="39"/>
      <c r="AR28" s="39"/>
      <c r="AS28" s="39"/>
      <c r="AT28" s="39"/>
      <c r="AU28" s="39"/>
      <c r="AV28" s="39"/>
      <c r="AW28" s="33"/>
      <c r="AX28" s="33"/>
      <c r="AY28" s="78"/>
      <c r="AZ28" s="26" t="n">
        <f aca="false">SUM(C28:AY28)</f>
        <v>0</v>
      </c>
      <c r="BA28" s="37"/>
    </row>
    <row r="29" customFormat="false" ht="14.25" hidden="false" customHeight="false" outlineLevel="0" collapsed="false">
      <c r="A29" s="38" t="s">
        <v>105</v>
      </c>
      <c r="B29" s="29" t="s">
        <v>106</v>
      </c>
      <c r="C29" s="49"/>
      <c r="D29" s="33"/>
      <c r="E29" s="41"/>
      <c r="F29" s="31"/>
      <c r="G29" s="41"/>
      <c r="H29" s="41"/>
      <c r="I29" s="41"/>
      <c r="J29" s="31"/>
      <c r="K29" s="31"/>
      <c r="L29" s="41"/>
      <c r="M29" s="50"/>
      <c r="N29" s="33"/>
      <c r="O29" s="41"/>
      <c r="P29" s="41"/>
      <c r="Q29" s="50"/>
      <c r="R29" s="31"/>
      <c r="S29" s="41"/>
      <c r="T29" s="41"/>
      <c r="U29" s="39"/>
      <c r="V29" s="39"/>
      <c r="W29" s="57"/>
      <c r="X29" s="57"/>
      <c r="Y29" s="50"/>
      <c r="Z29" s="50"/>
      <c r="AA29" s="31"/>
      <c r="AB29" s="31"/>
      <c r="AC29" s="31"/>
      <c r="AD29" s="39"/>
      <c r="AE29" s="39"/>
      <c r="AF29" s="39"/>
      <c r="AG29" s="39"/>
      <c r="AH29" s="39"/>
      <c r="AI29" s="31"/>
      <c r="AJ29" s="39"/>
      <c r="AK29" s="31"/>
      <c r="AL29" s="31"/>
      <c r="AM29" s="39"/>
      <c r="AN29" s="39"/>
      <c r="AO29" s="39"/>
      <c r="AP29" s="39"/>
      <c r="AQ29" s="39"/>
      <c r="AR29" s="39"/>
      <c r="AS29" s="39"/>
      <c r="AT29" s="39"/>
      <c r="AU29" s="39"/>
      <c r="AV29" s="39"/>
      <c r="AW29" s="41"/>
      <c r="AX29" s="41"/>
      <c r="AY29" s="65"/>
      <c r="AZ29" s="26" t="n">
        <f aca="false">SUM(C29:AY29)</f>
        <v>0</v>
      </c>
      <c r="BA29" s="37"/>
    </row>
    <row r="30" customFormat="false" ht="17.35" hidden="false" customHeight="false" outlineLevel="0" collapsed="false">
      <c r="A30" s="38" t="s">
        <v>107</v>
      </c>
      <c r="B30" s="29" t="s">
        <v>108</v>
      </c>
      <c r="C30" s="49"/>
      <c r="D30" s="41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39"/>
      <c r="P30" s="39"/>
      <c r="Q30" s="50"/>
      <c r="R30" s="41"/>
      <c r="S30" s="31"/>
      <c r="T30" s="41"/>
      <c r="U30" s="41"/>
      <c r="V30" s="41"/>
      <c r="W30" s="79"/>
      <c r="X30" s="79"/>
      <c r="Y30" s="50"/>
      <c r="Z30" s="50"/>
      <c r="AA30" s="41"/>
      <c r="AB30" s="41"/>
      <c r="AC30" s="41"/>
      <c r="AD30" s="50"/>
      <c r="AE30" s="50"/>
      <c r="AF30" s="39"/>
      <c r="AG30" s="50"/>
      <c r="AH30" s="50"/>
      <c r="AI30" s="31"/>
      <c r="AJ30" s="50"/>
      <c r="AK30" s="50"/>
      <c r="AL30" s="50"/>
      <c r="AM30" s="39"/>
      <c r="AN30" s="39"/>
      <c r="AO30" s="39"/>
      <c r="AP30" s="39"/>
      <c r="AQ30" s="39"/>
      <c r="AR30" s="39"/>
      <c r="AS30" s="39"/>
      <c r="AT30" s="39"/>
      <c r="AU30" s="39"/>
      <c r="AV30" s="39"/>
      <c r="AW30" s="41"/>
      <c r="AX30" s="41"/>
      <c r="AY30" s="65"/>
      <c r="AZ30" s="26" t="n">
        <f aca="false">SUM(C30:AY30)</f>
        <v>0</v>
      </c>
      <c r="BA30" s="37"/>
    </row>
    <row r="31" customFormat="false" ht="17.35" hidden="false" customHeight="false" outlineLevel="0" collapsed="false">
      <c r="A31" s="38" t="s">
        <v>109</v>
      </c>
      <c r="B31" s="29" t="s">
        <v>110</v>
      </c>
      <c r="C31" s="49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39"/>
      <c r="P31" s="39"/>
      <c r="Q31" s="50"/>
      <c r="R31" s="41"/>
      <c r="S31" s="41"/>
      <c r="T31" s="41"/>
      <c r="U31" s="41"/>
      <c r="V31" s="41"/>
      <c r="W31" s="79"/>
      <c r="X31" s="79"/>
      <c r="Y31" s="50"/>
      <c r="Z31" s="50"/>
      <c r="AA31" s="41"/>
      <c r="AB31" s="41"/>
      <c r="AC31" s="41"/>
      <c r="AD31" s="50"/>
      <c r="AE31" s="50"/>
      <c r="AF31" s="39"/>
      <c r="AG31" s="50"/>
      <c r="AH31" s="50"/>
      <c r="AI31" s="31"/>
      <c r="AJ31" s="50"/>
      <c r="AK31" s="50"/>
      <c r="AL31" s="42"/>
      <c r="AM31" s="31"/>
      <c r="AN31" s="39"/>
      <c r="AO31" s="39"/>
      <c r="AP31" s="39"/>
      <c r="AQ31" s="39"/>
      <c r="AR31" s="39"/>
      <c r="AS31" s="39"/>
      <c r="AT31" s="39"/>
      <c r="AU31" s="39"/>
      <c r="AV31" s="39"/>
      <c r="AW31" s="41"/>
      <c r="AX31" s="41"/>
      <c r="AY31" s="65"/>
      <c r="AZ31" s="26" t="n">
        <f aca="false">SUM(C31:AY31)</f>
        <v>0</v>
      </c>
      <c r="BA31" s="37"/>
    </row>
    <row r="32" customFormat="false" ht="17.35" hidden="false" customHeight="false" outlineLevel="0" collapsed="false">
      <c r="A32" s="38" t="s">
        <v>111</v>
      </c>
      <c r="B32" s="29" t="s">
        <v>112</v>
      </c>
      <c r="C32" s="49"/>
      <c r="D32" s="41"/>
      <c r="E32" s="41"/>
      <c r="F32" s="41"/>
      <c r="G32" s="41"/>
      <c r="H32" s="41"/>
      <c r="I32" s="41"/>
      <c r="J32" s="41"/>
      <c r="K32" s="41"/>
      <c r="L32" s="41"/>
      <c r="M32" s="41"/>
      <c r="N32" s="41"/>
      <c r="O32" s="39"/>
      <c r="P32" s="39"/>
      <c r="Q32" s="50"/>
      <c r="R32" s="41"/>
      <c r="S32" s="41"/>
      <c r="T32" s="41"/>
      <c r="U32" s="41"/>
      <c r="V32" s="41"/>
      <c r="W32" s="79"/>
      <c r="X32" s="79"/>
      <c r="Y32" s="50"/>
      <c r="Z32" s="50"/>
      <c r="AA32" s="41"/>
      <c r="AB32" s="41"/>
      <c r="AC32" s="41"/>
      <c r="AD32" s="50"/>
      <c r="AE32" s="50"/>
      <c r="AF32" s="39"/>
      <c r="AG32" s="50"/>
      <c r="AH32" s="50"/>
      <c r="AI32" s="31"/>
      <c r="AJ32" s="50"/>
      <c r="AK32" s="50"/>
      <c r="AL32" s="42"/>
      <c r="AM32" s="31"/>
      <c r="AN32" s="39"/>
      <c r="AO32" s="39"/>
      <c r="AP32" s="39"/>
      <c r="AQ32" s="39"/>
      <c r="AR32" s="39"/>
      <c r="AS32" s="39"/>
      <c r="AT32" s="39"/>
      <c r="AU32" s="39"/>
      <c r="AV32" s="39"/>
      <c r="AW32" s="41"/>
      <c r="AX32" s="41"/>
      <c r="AY32" s="65"/>
      <c r="AZ32" s="26" t="n">
        <f aca="false">SUM(C32:AY32)</f>
        <v>0</v>
      </c>
      <c r="BA32" s="37"/>
    </row>
    <row r="33" customFormat="false" ht="17.35" hidden="false" customHeight="false" outlineLevel="0" collapsed="false">
      <c r="A33" s="38" t="s">
        <v>113</v>
      </c>
      <c r="B33" s="29" t="s">
        <v>114</v>
      </c>
      <c r="C33" s="49"/>
      <c r="D33" s="4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9"/>
      <c r="P33" s="39"/>
      <c r="Q33" s="50"/>
      <c r="R33" s="41"/>
      <c r="S33" s="41"/>
      <c r="T33" s="41"/>
      <c r="U33" s="41"/>
      <c r="V33" s="41"/>
      <c r="W33" s="79"/>
      <c r="X33" s="79"/>
      <c r="Y33" s="50"/>
      <c r="Z33" s="50"/>
      <c r="AA33" s="41"/>
      <c r="AB33" s="41"/>
      <c r="AC33" s="41"/>
      <c r="AD33" s="50"/>
      <c r="AE33" s="50"/>
      <c r="AF33" s="39"/>
      <c r="AG33" s="50"/>
      <c r="AH33" s="50"/>
      <c r="AI33" s="31"/>
      <c r="AJ33" s="50"/>
      <c r="AK33" s="50"/>
      <c r="AL33" s="50"/>
      <c r="AM33" s="31"/>
      <c r="AN33" s="39"/>
      <c r="AO33" s="39"/>
      <c r="AP33" s="39"/>
      <c r="AQ33" s="39"/>
      <c r="AR33" s="39"/>
      <c r="AS33" s="39"/>
      <c r="AT33" s="39"/>
      <c r="AU33" s="39"/>
      <c r="AV33" s="39"/>
      <c r="AW33" s="41"/>
      <c r="AX33" s="41"/>
      <c r="AY33" s="65"/>
      <c r="AZ33" s="26" t="n">
        <f aca="false">SUM(C33:AY33)</f>
        <v>0</v>
      </c>
      <c r="BA33" s="37"/>
    </row>
    <row r="34" customFormat="false" ht="14.25" hidden="false" customHeight="false" outlineLevel="0" collapsed="false">
      <c r="A34" s="38" t="s">
        <v>115</v>
      </c>
      <c r="B34" s="80" t="s">
        <v>116</v>
      </c>
      <c r="C34" s="81"/>
      <c r="D34" s="50"/>
      <c r="E34" s="50"/>
      <c r="F34" s="50"/>
      <c r="G34" s="50"/>
      <c r="H34" s="41"/>
      <c r="I34" s="41"/>
      <c r="J34" s="50"/>
      <c r="K34" s="50"/>
      <c r="L34" s="50"/>
      <c r="M34" s="50"/>
      <c r="N34" s="50"/>
      <c r="O34" s="41"/>
      <c r="P34" s="41"/>
      <c r="Q34" s="50"/>
      <c r="R34" s="57"/>
      <c r="S34" s="50"/>
      <c r="T34" s="50"/>
      <c r="U34" s="50" t="s">
        <v>94</v>
      </c>
      <c r="V34" s="50"/>
      <c r="W34" s="40"/>
      <c r="X34" s="40"/>
      <c r="Y34" s="50"/>
      <c r="Z34" s="50"/>
      <c r="AA34" s="50"/>
      <c r="AB34" s="50"/>
      <c r="AC34" s="50"/>
      <c r="AD34" s="50"/>
      <c r="AE34" s="50"/>
      <c r="AF34" s="41"/>
      <c r="AG34" s="50"/>
      <c r="AH34" s="50"/>
      <c r="AI34" s="31"/>
      <c r="AJ34" s="50"/>
      <c r="AK34" s="50"/>
      <c r="AL34" s="50"/>
      <c r="AM34" s="41"/>
      <c r="AN34" s="41"/>
      <c r="AO34" s="41"/>
      <c r="AP34" s="41"/>
      <c r="AQ34" s="41"/>
      <c r="AR34" s="41"/>
      <c r="AS34" s="41"/>
      <c r="AT34" s="41"/>
      <c r="AU34" s="41"/>
      <c r="AV34" s="41"/>
      <c r="AW34" s="50"/>
      <c r="AX34" s="50"/>
      <c r="AY34" s="51"/>
      <c r="AZ34" s="26" t="n">
        <f aca="false">SUM(C34:AY34)</f>
        <v>0</v>
      </c>
      <c r="BA34" s="37"/>
    </row>
    <row r="35" customFormat="false" ht="14.25" hidden="false" customHeight="false" outlineLevel="0" collapsed="false">
      <c r="A35" s="38" t="s">
        <v>117</v>
      </c>
      <c r="B35" s="29" t="s">
        <v>118</v>
      </c>
      <c r="C35" s="49"/>
      <c r="D35" s="33"/>
      <c r="E35" s="39"/>
      <c r="F35" s="41"/>
      <c r="G35" s="41"/>
      <c r="H35" s="41"/>
      <c r="I35" s="41"/>
      <c r="J35" s="41"/>
      <c r="K35" s="41"/>
      <c r="L35" s="43"/>
      <c r="M35" s="50"/>
      <c r="N35" s="39"/>
      <c r="O35" s="39"/>
      <c r="P35" s="39"/>
      <c r="Q35" s="50"/>
      <c r="R35" s="31"/>
      <c r="S35" s="39"/>
      <c r="T35" s="41"/>
      <c r="U35" s="39"/>
      <c r="V35" s="39"/>
      <c r="W35" s="57"/>
      <c r="X35" s="57"/>
      <c r="Y35" s="50"/>
      <c r="Z35" s="50"/>
      <c r="AA35" s="31"/>
      <c r="AB35" s="31"/>
      <c r="AC35" s="31"/>
      <c r="AD35" s="39"/>
      <c r="AE35" s="39"/>
      <c r="AF35" s="39"/>
      <c r="AG35" s="39"/>
      <c r="AH35" s="39"/>
      <c r="AI35" s="31"/>
      <c r="AJ35" s="39"/>
      <c r="AK35" s="31"/>
      <c r="AL35" s="31"/>
      <c r="AM35" s="39"/>
      <c r="AN35" s="39"/>
      <c r="AO35" s="39"/>
      <c r="AP35" s="39"/>
      <c r="AQ35" s="39"/>
      <c r="AR35" s="39"/>
      <c r="AS35" s="39"/>
      <c r="AT35" s="39"/>
      <c r="AU35" s="39"/>
      <c r="AV35" s="39"/>
      <c r="AW35" s="33"/>
      <c r="AX35" s="33"/>
      <c r="AY35" s="78"/>
      <c r="AZ35" s="26" t="n">
        <f aca="false">SUM(C35:AY35)</f>
        <v>0</v>
      </c>
      <c r="BA35" s="37"/>
    </row>
    <row r="36" customFormat="false" ht="15" hidden="false" customHeight="false" outlineLevel="0" collapsed="false">
      <c r="A36" s="82" t="s">
        <v>119</v>
      </c>
      <c r="B36" s="29" t="s">
        <v>120</v>
      </c>
      <c r="C36" s="77"/>
      <c r="D36" s="41"/>
      <c r="E36" s="41"/>
      <c r="F36" s="41"/>
      <c r="G36" s="50"/>
      <c r="H36" s="41"/>
      <c r="I36" s="41"/>
      <c r="J36" s="50"/>
      <c r="K36" s="41"/>
      <c r="L36" s="50"/>
      <c r="M36" s="50"/>
      <c r="N36" s="50"/>
      <c r="O36" s="50"/>
      <c r="P36" s="41"/>
      <c r="Q36" s="50"/>
      <c r="R36" s="43"/>
      <c r="S36" s="50"/>
      <c r="T36" s="41"/>
      <c r="U36" s="41"/>
      <c r="V36" s="41"/>
      <c r="W36" s="42"/>
      <c r="X36" s="42"/>
      <c r="Y36" s="50"/>
      <c r="Z36" s="50"/>
      <c r="AA36" s="41"/>
      <c r="AB36" s="41"/>
      <c r="AC36" s="41"/>
      <c r="AD36" s="41"/>
      <c r="AE36" s="41"/>
      <c r="AF36" s="50"/>
      <c r="AG36" s="41"/>
      <c r="AH36" s="41"/>
      <c r="AI36" s="31"/>
      <c r="AJ36" s="41"/>
      <c r="AK36" s="41"/>
      <c r="AL36" s="41"/>
      <c r="AM36" s="50"/>
      <c r="AN36" s="50"/>
      <c r="AO36" s="50"/>
      <c r="AP36" s="50"/>
      <c r="AQ36" s="50"/>
      <c r="AR36" s="50"/>
      <c r="AS36" s="50"/>
      <c r="AT36" s="50"/>
      <c r="AU36" s="50"/>
      <c r="AV36" s="50"/>
      <c r="AW36" s="41"/>
      <c r="AX36" s="41"/>
      <c r="AY36" s="65"/>
      <c r="AZ36" s="26" t="n">
        <f aca="false">SUM(C36:AY36)</f>
        <v>0</v>
      </c>
      <c r="BA36" s="37"/>
    </row>
    <row r="37" customFormat="false" ht="15" hidden="false" customHeight="false" outlineLevel="0" collapsed="false">
      <c r="A37" s="83" t="s">
        <v>121</v>
      </c>
      <c r="B37" s="29" t="s">
        <v>122</v>
      </c>
      <c r="C37" s="49"/>
      <c r="D37" s="41"/>
      <c r="E37" s="41"/>
      <c r="F37" s="41"/>
      <c r="G37" s="50"/>
      <c r="H37" s="41"/>
      <c r="I37" s="41"/>
      <c r="J37" s="50"/>
      <c r="K37" s="41"/>
      <c r="L37" s="50"/>
      <c r="M37" s="50"/>
      <c r="N37" s="50"/>
      <c r="O37" s="50"/>
      <c r="P37" s="50"/>
      <c r="Q37" s="50"/>
      <c r="R37" s="41"/>
      <c r="S37" s="50"/>
      <c r="T37" s="41"/>
      <c r="U37" s="41"/>
      <c r="V37" s="41"/>
      <c r="W37" s="42"/>
      <c r="X37" s="42"/>
      <c r="Y37" s="50"/>
      <c r="Z37" s="50"/>
      <c r="AA37" s="41"/>
      <c r="AB37" s="41"/>
      <c r="AC37" s="41"/>
      <c r="AD37" s="41"/>
      <c r="AE37" s="41"/>
      <c r="AF37" s="50"/>
      <c r="AG37" s="41"/>
      <c r="AH37" s="41"/>
      <c r="AI37" s="31"/>
      <c r="AJ37" s="41"/>
      <c r="AK37" s="41"/>
      <c r="AL37" s="41"/>
      <c r="AM37" s="50"/>
      <c r="AN37" s="50"/>
      <c r="AO37" s="50"/>
      <c r="AP37" s="50"/>
      <c r="AQ37" s="50"/>
      <c r="AR37" s="50"/>
      <c r="AS37" s="50"/>
      <c r="AT37" s="50"/>
      <c r="AU37" s="50"/>
      <c r="AV37" s="50"/>
      <c r="AW37" s="41"/>
      <c r="AX37" s="41"/>
      <c r="AY37" s="65"/>
      <c r="AZ37" s="26" t="n">
        <f aca="false">SUM(C37:AY37)</f>
        <v>0</v>
      </c>
      <c r="BA37" s="37"/>
    </row>
    <row r="38" customFormat="false" ht="15" hidden="false" customHeight="false" outlineLevel="0" collapsed="false">
      <c r="A38" s="84" t="s">
        <v>123</v>
      </c>
      <c r="B38" s="29" t="s">
        <v>124</v>
      </c>
      <c r="C38" s="85"/>
      <c r="D38" s="41"/>
      <c r="E38" s="41"/>
      <c r="F38" s="41"/>
      <c r="G38" s="50"/>
      <c r="H38" s="41"/>
      <c r="I38" s="41"/>
      <c r="J38" s="50"/>
      <c r="K38" s="41"/>
      <c r="L38" s="50" t="s">
        <v>125</v>
      </c>
      <c r="M38" s="50"/>
      <c r="N38" s="50"/>
      <c r="O38" s="50"/>
      <c r="P38" s="50"/>
      <c r="Q38" s="50"/>
      <c r="R38" s="43"/>
      <c r="S38" s="50"/>
      <c r="T38" s="41"/>
      <c r="U38" s="41"/>
      <c r="V38" s="41"/>
      <c r="W38" s="74"/>
      <c r="X38" s="42"/>
      <c r="Y38" s="50"/>
      <c r="Z38" s="50"/>
      <c r="AA38" s="41"/>
      <c r="AB38" s="41"/>
      <c r="AC38" s="41"/>
      <c r="AD38" s="41"/>
      <c r="AE38" s="41"/>
      <c r="AF38" s="50"/>
      <c r="AG38" s="41"/>
      <c r="AH38" s="41"/>
      <c r="AI38" s="31"/>
      <c r="AJ38" s="41"/>
      <c r="AK38" s="41"/>
      <c r="AL38" s="41"/>
      <c r="AM38" s="50"/>
      <c r="AN38" s="50"/>
      <c r="AO38" s="50"/>
      <c r="AP38" s="50"/>
      <c r="AQ38" s="50"/>
      <c r="AR38" s="50"/>
      <c r="AS38" s="50"/>
      <c r="AT38" s="50"/>
      <c r="AU38" s="50"/>
      <c r="AV38" s="50"/>
      <c r="AW38" s="41"/>
      <c r="AX38" s="41"/>
      <c r="AY38" s="65"/>
      <c r="AZ38" s="26" t="n">
        <f aca="false">SUM(C38:AY38)</f>
        <v>0</v>
      </c>
      <c r="BA38" s="37"/>
    </row>
    <row r="39" customFormat="false" ht="15" hidden="false" customHeight="false" outlineLevel="0" collapsed="false">
      <c r="A39" s="83" t="s">
        <v>126</v>
      </c>
      <c r="B39" s="29" t="s">
        <v>127</v>
      </c>
      <c r="C39" s="53"/>
      <c r="D39" s="50"/>
      <c r="E39" s="50"/>
      <c r="F39" s="50"/>
      <c r="G39" s="50"/>
      <c r="H39" s="41"/>
      <c r="I39" s="39"/>
      <c r="J39" s="50"/>
      <c r="K39" s="50"/>
      <c r="L39" s="50"/>
      <c r="M39" s="50"/>
      <c r="N39" s="50"/>
      <c r="O39" s="50"/>
      <c r="P39" s="50"/>
      <c r="Q39" s="50"/>
      <c r="R39" s="41"/>
      <c r="S39" s="50"/>
      <c r="T39" s="42"/>
      <c r="U39" s="50"/>
      <c r="V39" s="50"/>
      <c r="W39" s="31"/>
      <c r="X39" s="42"/>
      <c r="Y39" s="41"/>
      <c r="Z39" s="50"/>
      <c r="AA39" s="41"/>
      <c r="AB39" s="41"/>
      <c r="AC39" s="41"/>
      <c r="AD39" s="50"/>
      <c r="AE39" s="50"/>
      <c r="AF39" s="50"/>
      <c r="AG39" s="50"/>
      <c r="AH39" s="50"/>
      <c r="AI39" s="31"/>
      <c r="AJ39" s="50"/>
      <c r="AK39" s="50"/>
      <c r="AL39" s="50"/>
      <c r="AM39" s="50"/>
      <c r="AN39" s="50"/>
      <c r="AO39" s="50"/>
      <c r="AP39" s="50"/>
      <c r="AQ39" s="50"/>
      <c r="AR39" s="50"/>
      <c r="AS39" s="50"/>
      <c r="AT39" s="50"/>
      <c r="AU39" s="50"/>
      <c r="AV39" s="50"/>
      <c r="AW39" s="50"/>
      <c r="AX39" s="50"/>
      <c r="AY39" s="51"/>
      <c r="AZ39" s="26" t="n">
        <f aca="false">SUM(C39:AY39)</f>
        <v>0</v>
      </c>
      <c r="BA39" s="37"/>
    </row>
    <row r="40" customFormat="false" ht="14.25" hidden="false" customHeight="false" outlineLevel="0" collapsed="false">
      <c r="A40" s="52" t="s">
        <v>128</v>
      </c>
      <c r="B40" s="29" t="s">
        <v>129</v>
      </c>
      <c r="C40" s="53"/>
      <c r="D40" s="50"/>
      <c r="E40" s="50"/>
      <c r="F40" s="50"/>
      <c r="G40" s="50"/>
      <c r="H40" s="50"/>
      <c r="I40" s="50"/>
      <c r="J40" s="50"/>
      <c r="K40" s="50"/>
      <c r="L40" s="50"/>
      <c r="M40" s="50"/>
      <c r="N40" s="50"/>
      <c r="O40" s="50"/>
      <c r="P40" s="50"/>
      <c r="Q40" s="50"/>
      <c r="R40" s="50"/>
      <c r="S40" s="50"/>
      <c r="T40" s="50"/>
      <c r="U40" s="50"/>
      <c r="V40" s="50"/>
      <c r="W40" s="40"/>
      <c r="X40" s="41"/>
      <c r="Y40" s="41"/>
      <c r="Z40" s="50"/>
      <c r="AA40" s="50"/>
      <c r="AB40" s="50"/>
      <c r="AC40" s="50"/>
      <c r="AD40" s="50"/>
      <c r="AE40" s="50"/>
      <c r="AF40" s="50"/>
      <c r="AG40" s="50"/>
      <c r="AH40" s="50"/>
      <c r="AI40" s="31"/>
      <c r="AJ40" s="50"/>
      <c r="AK40" s="50"/>
      <c r="AL40" s="50"/>
      <c r="AM40" s="50"/>
      <c r="AN40" s="50"/>
      <c r="AO40" s="50"/>
      <c r="AP40" s="50"/>
      <c r="AQ40" s="50"/>
      <c r="AR40" s="50"/>
      <c r="AS40" s="50"/>
      <c r="AT40" s="50"/>
      <c r="AU40" s="50"/>
      <c r="AV40" s="50"/>
      <c r="AW40" s="50"/>
      <c r="AX40" s="50"/>
      <c r="AY40" s="51"/>
      <c r="AZ40" s="26" t="n">
        <f aca="false">SUM(C40:AY40)</f>
        <v>0</v>
      </c>
      <c r="BA40" s="37"/>
    </row>
    <row r="41" customFormat="false" ht="14.25" hidden="false" customHeight="false" outlineLevel="0" collapsed="false">
      <c r="A41" s="86" t="s">
        <v>130</v>
      </c>
      <c r="B41" s="29" t="s">
        <v>131</v>
      </c>
      <c r="C41" s="53"/>
      <c r="D41" s="50"/>
      <c r="E41" s="50"/>
      <c r="F41" s="50"/>
      <c r="G41" s="50"/>
      <c r="H41" s="50"/>
      <c r="I41" s="50"/>
      <c r="J41" s="50"/>
      <c r="K41" s="50"/>
      <c r="L41" s="50"/>
      <c r="M41" s="50"/>
      <c r="N41" s="50"/>
      <c r="O41" s="50"/>
      <c r="P41" s="50"/>
      <c r="Q41" s="50"/>
      <c r="R41" s="50"/>
      <c r="S41" s="50"/>
      <c r="T41" s="50"/>
      <c r="U41" s="50"/>
      <c r="V41" s="50"/>
      <c r="W41" s="40"/>
      <c r="X41" s="67" t="n">
        <v>1</v>
      </c>
      <c r="Y41" s="41"/>
      <c r="Z41" s="67" t="n">
        <v>1</v>
      </c>
      <c r="AA41" s="50"/>
      <c r="AB41" s="50"/>
      <c r="AC41" s="50"/>
      <c r="AD41" s="50"/>
      <c r="AE41" s="50"/>
      <c r="AF41" s="50"/>
      <c r="AG41" s="50"/>
      <c r="AH41" s="50"/>
      <c r="AI41" s="31"/>
      <c r="AJ41" s="50"/>
      <c r="AK41" s="50"/>
      <c r="AL41" s="50"/>
      <c r="AM41" s="50"/>
      <c r="AN41" s="50"/>
      <c r="AO41" s="50"/>
      <c r="AP41" s="50"/>
      <c r="AQ41" s="50"/>
      <c r="AR41" s="50"/>
      <c r="AS41" s="50"/>
      <c r="AT41" s="50"/>
      <c r="AU41" s="50"/>
      <c r="AV41" s="50"/>
      <c r="AW41" s="50"/>
      <c r="AX41" s="50"/>
      <c r="AY41" s="51"/>
      <c r="AZ41" s="26" t="n">
        <f aca="false">SUM(C41:AY41)</f>
        <v>2</v>
      </c>
      <c r="BA41" s="37"/>
    </row>
    <row r="42" customFormat="false" ht="15" hidden="false" customHeight="false" outlineLevel="0" collapsed="false">
      <c r="A42" s="87" t="s">
        <v>132</v>
      </c>
      <c r="B42" s="88" t="s">
        <v>133</v>
      </c>
      <c r="C42" s="89" t="n">
        <v>9</v>
      </c>
      <c r="D42" s="55" t="n">
        <v>12</v>
      </c>
      <c r="E42" s="41"/>
      <c r="F42" s="90"/>
      <c r="G42" s="90"/>
      <c r="H42" s="55" t="n">
        <v>3</v>
      </c>
      <c r="I42" s="91" t="n">
        <v>3</v>
      </c>
      <c r="J42" s="42"/>
      <c r="K42" s="55" t="n">
        <v>2</v>
      </c>
      <c r="L42" s="55" t="n">
        <v>1</v>
      </c>
      <c r="M42" s="43"/>
      <c r="N42" s="41"/>
      <c r="O42" s="92" t="n">
        <v>1</v>
      </c>
      <c r="P42" s="90"/>
      <c r="Q42" s="55" t="n">
        <v>2</v>
      </c>
      <c r="R42" s="55" t="n">
        <v>2</v>
      </c>
      <c r="S42" s="55" t="n">
        <v>1</v>
      </c>
      <c r="T42" s="41"/>
      <c r="U42" s="41"/>
      <c r="V42" s="41"/>
      <c r="W42" s="41"/>
      <c r="X42" s="41"/>
      <c r="Y42" s="74"/>
      <c r="Z42" s="74"/>
      <c r="AA42" s="55" t="n">
        <v>2</v>
      </c>
      <c r="AB42" s="93"/>
      <c r="AC42" s="74"/>
      <c r="AD42" s="94" t="n">
        <v>3</v>
      </c>
      <c r="AE42" s="50"/>
      <c r="AF42" s="95"/>
      <c r="AG42" s="41"/>
      <c r="AH42" s="92" t="n">
        <v>4</v>
      </c>
      <c r="AI42" s="55" t="n">
        <v>1</v>
      </c>
      <c r="AJ42" s="55" t="n">
        <v>1</v>
      </c>
      <c r="AK42" s="39"/>
      <c r="AL42" s="39"/>
      <c r="AM42" s="39"/>
      <c r="AN42" s="74"/>
      <c r="AO42" s="74"/>
      <c r="AP42" s="41"/>
      <c r="AQ42" s="41"/>
      <c r="AR42" s="41"/>
      <c r="AS42" s="41"/>
      <c r="AT42" s="31"/>
      <c r="AU42" s="55" t="n">
        <v>1</v>
      </c>
      <c r="AV42" s="95"/>
      <c r="AW42" s="55" t="n">
        <v>3</v>
      </c>
      <c r="AX42" s="55" t="n">
        <v>3</v>
      </c>
      <c r="AY42" s="65"/>
      <c r="AZ42" s="26" t="n">
        <f aca="false">SUM(C42:AY42)</f>
        <v>54</v>
      </c>
      <c r="BA42" s="96"/>
    </row>
    <row r="43" customFormat="false" ht="15" hidden="false" customHeight="false" outlineLevel="0" collapsed="false">
      <c r="A43" s="52" t="s">
        <v>134</v>
      </c>
      <c r="B43" s="29" t="s">
        <v>135</v>
      </c>
      <c r="C43" s="49"/>
      <c r="D43" s="74"/>
      <c r="E43" s="50"/>
      <c r="F43" s="50"/>
      <c r="G43" s="33"/>
      <c r="H43" s="41"/>
      <c r="I43" s="95"/>
      <c r="J43" s="41"/>
      <c r="K43" s="95"/>
      <c r="L43" s="95"/>
      <c r="M43" s="41"/>
      <c r="N43" s="41"/>
      <c r="O43" s="41"/>
      <c r="P43" s="41"/>
      <c r="Q43" s="41"/>
      <c r="R43" s="41"/>
      <c r="S43" s="41"/>
      <c r="T43" s="41"/>
      <c r="U43" s="41"/>
      <c r="V43" s="41"/>
      <c r="W43" s="42"/>
      <c r="X43" s="42"/>
      <c r="Y43" s="41"/>
      <c r="Z43" s="41"/>
      <c r="AA43" s="41"/>
      <c r="AB43" s="74"/>
      <c r="AC43" s="74"/>
      <c r="AD43" s="41"/>
      <c r="AE43" s="41"/>
      <c r="AF43" s="41"/>
      <c r="AG43" s="41"/>
      <c r="AH43" s="41"/>
      <c r="AI43" s="31"/>
      <c r="AJ43" s="41"/>
      <c r="AK43" s="41"/>
      <c r="AL43" s="41"/>
      <c r="AM43" s="41"/>
      <c r="AN43" s="41"/>
      <c r="AO43" s="41"/>
      <c r="AP43" s="41"/>
      <c r="AQ43" s="41"/>
      <c r="AR43" s="41"/>
      <c r="AS43" s="41"/>
      <c r="AT43" s="31"/>
      <c r="AU43" s="41"/>
      <c r="AV43" s="41"/>
      <c r="AW43" s="50"/>
      <c r="AX43" s="50"/>
      <c r="AY43" s="51"/>
      <c r="AZ43" s="26" t="n">
        <f aca="false">SUM(C43:AY43)</f>
        <v>0</v>
      </c>
      <c r="BA43" s="37"/>
    </row>
    <row r="44" customFormat="false" ht="15" hidden="false" customHeight="false" outlineLevel="0" collapsed="false">
      <c r="A44" s="38" t="s">
        <v>38</v>
      </c>
      <c r="B44" s="29" t="s">
        <v>136</v>
      </c>
      <c r="C44" s="97" t="n">
        <v>1</v>
      </c>
      <c r="D44" s="50"/>
      <c r="E44" s="50"/>
      <c r="F44" s="50"/>
      <c r="G44" s="50"/>
      <c r="H44" s="50"/>
      <c r="I44" s="50"/>
      <c r="J44" s="50"/>
      <c r="K44" s="50"/>
      <c r="L44" s="50"/>
      <c r="M44" s="50"/>
      <c r="N44" s="41"/>
      <c r="O44" s="50"/>
      <c r="P44" s="50"/>
      <c r="Q44" s="50"/>
      <c r="R44" s="50"/>
      <c r="S44" s="50"/>
      <c r="T44" s="50"/>
      <c r="U44" s="50"/>
      <c r="V44" s="50"/>
      <c r="W44" s="40"/>
      <c r="X44" s="40"/>
      <c r="Y44" s="50"/>
      <c r="Z44" s="50"/>
      <c r="AA44" s="50"/>
      <c r="AB44" s="50"/>
      <c r="AC44" s="50"/>
      <c r="AD44" s="42"/>
      <c r="AE44" s="42"/>
      <c r="AF44" s="50"/>
      <c r="AG44" s="50"/>
      <c r="AH44" s="50"/>
      <c r="AI44" s="31"/>
      <c r="AJ44" s="50"/>
      <c r="AK44" s="50"/>
      <c r="AL44" s="50"/>
      <c r="AM44" s="50"/>
      <c r="AN44" s="50"/>
      <c r="AO44" s="50"/>
      <c r="AP44" s="50"/>
      <c r="AQ44" s="50"/>
      <c r="AR44" s="50"/>
      <c r="AS44" s="50"/>
      <c r="AT44" s="50"/>
      <c r="AU44" s="50"/>
      <c r="AV44" s="50"/>
      <c r="AW44" s="50"/>
      <c r="AX44" s="50"/>
      <c r="AY44" s="51"/>
      <c r="AZ44" s="26" t="n">
        <f aca="false">SUM(C44:AY44)</f>
        <v>1</v>
      </c>
      <c r="BA44" s="37"/>
    </row>
    <row r="45" customFormat="false" ht="14.25" hidden="false" customHeight="false" outlineLevel="0" collapsed="false">
      <c r="A45" s="38" t="s">
        <v>137</v>
      </c>
      <c r="B45" s="29" t="s">
        <v>138</v>
      </c>
      <c r="C45" s="81"/>
      <c r="D45" s="50"/>
      <c r="E45" s="50"/>
      <c r="F45" s="41"/>
      <c r="G45" s="50"/>
      <c r="H45" s="41"/>
      <c r="I45" s="50"/>
      <c r="J45" s="50"/>
      <c r="K45" s="41"/>
      <c r="L45" s="31"/>
      <c r="M45" s="92" t="n">
        <v>10</v>
      </c>
      <c r="N45" s="43"/>
      <c r="O45" s="50"/>
      <c r="P45" s="50"/>
      <c r="Q45" s="50"/>
      <c r="R45" s="50"/>
      <c r="S45" s="50"/>
      <c r="T45" s="50"/>
      <c r="U45" s="50"/>
      <c r="V45" s="50"/>
      <c r="W45" s="41"/>
      <c r="X45" s="41"/>
      <c r="Y45" s="50"/>
      <c r="Z45" s="50"/>
      <c r="AA45" s="41"/>
      <c r="AB45" s="41"/>
      <c r="AC45" s="41"/>
      <c r="AD45" s="92" t="n">
        <v>1</v>
      </c>
      <c r="AE45" s="92"/>
      <c r="AF45" s="41"/>
      <c r="AG45" s="41"/>
      <c r="AH45" s="41"/>
      <c r="AI45" s="31"/>
      <c r="AJ45" s="41"/>
      <c r="AK45" s="41"/>
      <c r="AL45" s="41"/>
      <c r="AM45" s="50"/>
      <c r="AN45" s="50"/>
      <c r="AO45" s="50"/>
      <c r="AP45" s="50"/>
      <c r="AQ45" s="50"/>
      <c r="AR45" s="50"/>
      <c r="AS45" s="50"/>
      <c r="AT45" s="50"/>
      <c r="AU45" s="50"/>
      <c r="AV45" s="50"/>
      <c r="AW45" s="50"/>
      <c r="AX45" s="50"/>
      <c r="AY45" s="51"/>
      <c r="AZ45" s="26" t="n">
        <f aca="false">SUM(C45:AY45)</f>
        <v>11</v>
      </c>
      <c r="BA45" s="37"/>
    </row>
    <row r="46" customFormat="false" ht="14.25" hidden="false" customHeight="false" outlineLevel="0" collapsed="false">
      <c r="A46" s="38" t="s">
        <v>139</v>
      </c>
      <c r="B46" s="29" t="s">
        <v>138</v>
      </c>
      <c r="C46" s="53"/>
      <c r="D46" s="50"/>
      <c r="E46" s="50"/>
      <c r="F46" s="50"/>
      <c r="G46" s="50"/>
      <c r="H46" s="92" t="n">
        <v>2</v>
      </c>
      <c r="I46" s="50"/>
      <c r="J46" s="41"/>
      <c r="K46" s="41"/>
      <c r="L46" s="50"/>
      <c r="M46" s="50"/>
      <c r="N46" s="50"/>
      <c r="O46" s="50"/>
      <c r="P46" s="50"/>
      <c r="Q46" s="98"/>
      <c r="R46" s="50"/>
      <c r="S46" s="41"/>
      <c r="T46" s="41"/>
      <c r="U46" s="50"/>
      <c r="V46" s="50"/>
      <c r="W46" s="40"/>
      <c r="X46" s="40"/>
      <c r="Y46" s="50"/>
      <c r="Z46" s="50"/>
      <c r="AA46" s="41"/>
      <c r="AB46" s="41"/>
      <c r="AC46" s="55" t="n">
        <v>1</v>
      </c>
      <c r="AD46" s="50"/>
      <c r="AE46" s="50"/>
      <c r="AF46" s="50"/>
      <c r="AG46" s="50"/>
      <c r="AH46" s="58"/>
      <c r="AI46" s="31"/>
      <c r="AJ46" s="59"/>
      <c r="AK46" s="58"/>
      <c r="AL46" s="50"/>
      <c r="AM46" s="50"/>
      <c r="AN46" s="50"/>
      <c r="AO46" s="50"/>
      <c r="AP46" s="50"/>
      <c r="AQ46" s="50"/>
      <c r="AR46" s="50"/>
      <c r="AS46" s="50"/>
      <c r="AT46" s="50"/>
      <c r="AU46" s="50"/>
      <c r="AV46" s="50"/>
      <c r="AW46" s="50"/>
      <c r="AX46" s="50"/>
      <c r="AY46" s="51"/>
      <c r="AZ46" s="26" t="n">
        <f aca="false">SUM(C46:AY46)</f>
        <v>3</v>
      </c>
      <c r="BA46" s="37"/>
    </row>
    <row r="47" customFormat="false" ht="14.25" hidden="false" customHeight="false" outlineLevel="0" collapsed="false">
      <c r="A47" s="38" t="s">
        <v>140</v>
      </c>
      <c r="B47" s="29" t="s">
        <v>141</v>
      </c>
      <c r="C47" s="53"/>
      <c r="D47" s="50"/>
      <c r="E47" s="50"/>
      <c r="F47" s="50"/>
      <c r="G47" s="50"/>
      <c r="H47" s="33"/>
      <c r="I47" s="50"/>
      <c r="J47" s="41"/>
      <c r="K47" s="41"/>
      <c r="L47" s="50"/>
      <c r="M47" s="50"/>
      <c r="N47" s="50"/>
      <c r="O47" s="50"/>
      <c r="P47" s="50"/>
      <c r="Q47" s="98"/>
      <c r="R47" s="50"/>
      <c r="S47" s="41"/>
      <c r="T47" s="41"/>
      <c r="U47" s="50"/>
      <c r="V47" s="50"/>
      <c r="W47" s="40"/>
      <c r="X47" s="40"/>
      <c r="Y47" s="50"/>
      <c r="Z47" s="50"/>
      <c r="AA47" s="41"/>
      <c r="AB47" s="41"/>
      <c r="AC47" s="92" t="n">
        <v>3</v>
      </c>
      <c r="AD47" s="50"/>
      <c r="AE47" s="50"/>
      <c r="AF47" s="50"/>
      <c r="AG47" s="50"/>
      <c r="AH47" s="58"/>
      <c r="AI47" s="31"/>
      <c r="AJ47" s="59"/>
      <c r="AK47" s="58"/>
      <c r="AL47" s="50"/>
      <c r="AM47" s="50"/>
      <c r="AN47" s="50"/>
      <c r="AO47" s="50"/>
      <c r="AP47" s="50"/>
      <c r="AQ47" s="50"/>
      <c r="AR47" s="50"/>
      <c r="AS47" s="50"/>
      <c r="AT47" s="50"/>
      <c r="AU47" s="50"/>
      <c r="AV47" s="50"/>
      <c r="AW47" s="50"/>
      <c r="AX47" s="50"/>
      <c r="AY47" s="51"/>
      <c r="AZ47" s="26" t="n">
        <f aca="false">SUM(C47:AY47)</f>
        <v>3</v>
      </c>
      <c r="BA47" s="37"/>
    </row>
    <row r="48" customFormat="false" ht="14.25" hidden="false" customHeight="false" outlineLevel="0" collapsed="false">
      <c r="A48" s="38" t="s">
        <v>142</v>
      </c>
      <c r="B48" s="29" t="s">
        <v>143</v>
      </c>
      <c r="C48" s="53"/>
      <c r="D48" s="50"/>
      <c r="E48" s="50"/>
      <c r="F48" s="50"/>
      <c r="G48" s="50"/>
      <c r="H48" s="50"/>
      <c r="I48" s="50"/>
      <c r="J48" s="41"/>
      <c r="K48" s="41"/>
      <c r="L48" s="50"/>
      <c r="M48" s="50"/>
      <c r="N48" s="50"/>
      <c r="O48" s="50"/>
      <c r="P48" s="50"/>
      <c r="Q48" s="50"/>
      <c r="R48" s="50"/>
      <c r="S48" s="41"/>
      <c r="T48" s="41"/>
      <c r="U48" s="50"/>
      <c r="V48" s="41"/>
      <c r="W48" s="41"/>
      <c r="X48" s="40"/>
      <c r="Y48" s="41"/>
      <c r="Z48" s="50"/>
      <c r="AA48" s="50"/>
      <c r="AB48" s="50"/>
      <c r="AC48" s="50"/>
      <c r="AD48" s="50"/>
      <c r="AE48" s="50"/>
      <c r="AF48" s="50"/>
      <c r="AG48" s="50"/>
      <c r="AH48" s="58"/>
      <c r="AI48" s="31"/>
      <c r="AJ48" s="59"/>
      <c r="AK48" s="58"/>
      <c r="AL48" s="50"/>
      <c r="AM48" s="50"/>
      <c r="AN48" s="50"/>
      <c r="AO48" s="50"/>
      <c r="AP48" s="50"/>
      <c r="AQ48" s="50"/>
      <c r="AR48" s="50"/>
      <c r="AS48" s="50"/>
      <c r="AT48" s="50"/>
      <c r="AU48" s="50"/>
      <c r="AV48" s="50"/>
      <c r="AW48" s="50"/>
      <c r="AX48" s="50"/>
      <c r="AY48" s="51"/>
      <c r="AZ48" s="26" t="n">
        <f aca="false">SUM(C48:AY48)</f>
        <v>0</v>
      </c>
      <c r="BA48" s="37"/>
    </row>
    <row r="49" customFormat="false" ht="14.25" hidden="false" customHeight="false" outlineLevel="0" collapsed="false">
      <c r="A49" s="38" t="s">
        <v>144</v>
      </c>
      <c r="B49" s="29" t="s">
        <v>145</v>
      </c>
      <c r="C49" s="53"/>
      <c r="D49" s="50"/>
      <c r="E49" s="50"/>
      <c r="F49" s="50"/>
      <c r="G49" s="50"/>
      <c r="H49" s="50"/>
      <c r="I49" s="50"/>
      <c r="J49" s="41"/>
      <c r="K49" s="50"/>
      <c r="L49" s="50"/>
      <c r="M49" s="50"/>
      <c r="N49" s="50"/>
      <c r="O49" s="50"/>
      <c r="P49" s="50"/>
      <c r="Q49" s="50"/>
      <c r="R49" s="41"/>
      <c r="S49" s="41"/>
      <c r="T49" s="41"/>
      <c r="U49" s="41"/>
      <c r="V49" s="41"/>
      <c r="W49" s="40"/>
      <c r="X49" s="40"/>
      <c r="Y49" s="50"/>
      <c r="Z49" s="50"/>
      <c r="AA49" s="50"/>
      <c r="AB49" s="50"/>
      <c r="AC49" s="50"/>
      <c r="AD49" s="41"/>
      <c r="AE49" s="41"/>
      <c r="AF49" s="50"/>
      <c r="AG49" s="41"/>
      <c r="AH49" s="60"/>
      <c r="AI49" s="31"/>
      <c r="AJ49" s="61"/>
      <c r="AK49" s="60"/>
      <c r="AL49" s="41"/>
      <c r="AM49" s="50"/>
      <c r="AN49" s="50"/>
      <c r="AO49" s="50"/>
      <c r="AP49" s="50"/>
      <c r="AQ49" s="50"/>
      <c r="AR49" s="50"/>
      <c r="AS49" s="50"/>
      <c r="AT49" s="50"/>
      <c r="AU49" s="50"/>
      <c r="AV49" s="50"/>
      <c r="AW49" s="50"/>
      <c r="AX49" s="50"/>
      <c r="AY49" s="51"/>
      <c r="AZ49" s="26" t="n">
        <f aca="false">SUM(C49:AY49)</f>
        <v>0</v>
      </c>
      <c r="BA49" s="37"/>
    </row>
    <row r="50" customFormat="false" ht="15" hidden="false" customHeight="false" outlineLevel="0" collapsed="false">
      <c r="A50" s="52" t="s">
        <v>146</v>
      </c>
      <c r="B50" s="99" t="s">
        <v>147</v>
      </c>
      <c r="C50" s="53"/>
      <c r="D50" s="40"/>
      <c r="E50" s="40"/>
      <c r="F50" s="40"/>
      <c r="G50" s="40"/>
      <c r="H50" s="42"/>
      <c r="I50" s="40"/>
      <c r="J50" s="57"/>
      <c r="K50" s="40"/>
      <c r="L50" s="40"/>
      <c r="M50" s="40"/>
      <c r="N50" s="40"/>
      <c r="O50" s="40"/>
      <c r="P50" s="40"/>
      <c r="Q50" s="40"/>
      <c r="R50" s="40"/>
      <c r="S50" s="57"/>
      <c r="T50" s="57"/>
      <c r="U50" s="40"/>
      <c r="V50" s="40"/>
      <c r="W50" s="40"/>
      <c r="X50" s="40"/>
      <c r="Y50" s="40"/>
      <c r="Z50" s="40"/>
      <c r="AA50" s="42"/>
      <c r="AB50" s="42"/>
      <c r="AC50" s="42"/>
      <c r="AD50" s="40"/>
      <c r="AE50" s="40"/>
      <c r="AF50" s="40"/>
      <c r="AG50" s="40"/>
      <c r="AH50" s="45"/>
      <c r="AI50" s="31"/>
      <c r="AJ50" s="46"/>
      <c r="AK50" s="45"/>
      <c r="AL50" s="40"/>
      <c r="AM50" s="40"/>
      <c r="AN50" s="40"/>
      <c r="AO50" s="40"/>
      <c r="AP50" s="40"/>
      <c r="AQ50" s="40"/>
      <c r="AR50" s="40"/>
      <c r="AS50" s="40"/>
      <c r="AT50" s="40"/>
      <c r="AU50" s="40"/>
      <c r="AV50" s="40"/>
      <c r="AW50" s="40"/>
      <c r="AX50" s="40"/>
      <c r="AY50" s="47"/>
      <c r="AZ50" s="26" t="n">
        <f aca="false">SUM(C50:AY50)</f>
        <v>0</v>
      </c>
      <c r="BA50" s="37"/>
    </row>
    <row r="51" customFormat="false" ht="14.25" hidden="false" customHeight="false" outlineLevel="0" collapsed="false">
      <c r="A51" s="52" t="s">
        <v>148</v>
      </c>
      <c r="B51" s="100" t="s">
        <v>149</v>
      </c>
      <c r="C51" s="53"/>
      <c r="D51" s="40"/>
      <c r="E51" s="40"/>
      <c r="F51" s="40"/>
      <c r="G51" s="40"/>
      <c r="H51" s="41"/>
      <c r="I51" s="40"/>
      <c r="J51" s="40"/>
      <c r="K51" s="40"/>
      <c r="L51" s="40"/>
      <c r="M51" s="40"/>
      <c r="N51" s="40"/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  <c r="AD51" s="40"/>
      <c r="AE51" s="40"/>
      <c r="AF51" s="40"/>
      <c r="AG51" s="40"/>
      <c r="AH51" s="45"/>
      <c r="AI51" s="31"/>
      <c r="AJ51" s="46"/>
      <c r="AK51" s="45"/>
      <c r="AL51" s="40"/>
      <c r="AM51" s="40"/>
      <c r="AN51" s="40"/>
      <c r="AO51" s="40"/>
      <c r="AP51" s="40"/>
      <c r="AQ51" s="40"/>
      <c r="AR51" s="40"/>
      <c r="AS51" s="40"/>
      <c r="AT51" s="40"/>
      <c r="AU51" s="40"/>
      <c r="AV51" s="40"/>
      <c r="AW51" s="40"/>
      <c r="AX51" s="40"/>
      <c r="AY51" s="47"/>
      <c r="AZ51" s="26" t="n">
        <f aca="false">SUM(C51:AY51)</f>
        <v>0</v>
      </c>
      <c r="BA51" s="37"/>
    </row>
    <row r="52" customFormat="false" ht="15" hidden="false" customHeight="false" outlineLevel="0" collapsed="false">
      <c r="A52" s="38" t="s">
        <v>150</v>
      </c>
      <c r="B52" s="29" t="s">
        <v>151</v>
      </c>
      <c r="C52" s="49"/>
      <c r="D52" s="40"/>
      <c r="E52" s="57"/>
      <c r="F52" s="43"/>
      <c r="G52" s="44"/>
      <c r="H52" s="94" t="n">
        <v>6</v>
      </c>
      <c r="I52" s="40"/>
      <c r="J52" s="40"/>
      <c r="K52" s="42"/>
      <c r="L52" s="40"/>
      <c r="M52" s="41"/>
      <c r="N52" s="92" t="n">
        <v>5</v>
      </c>
      <c r="O52" s="42"/>
      <c r="P52" s="42"/>
      <c r="Q52" s="42"/>
      <c r="R52" s="41"/>
      <c r="S52" s="40"/>
      <c r="T52" s="40"/>
      <c r="U52" s="57"/>
      <c r="V52" s="57"/>
      <c r="W52" s="40"/>
      <c r="X52" s="40"/>
      <c r="Y52" s="40"/>
      <c r="Z52" s="42"/>
      <c r="AA52" s="39"/>
      <c r="AB52" s="39"/>
      <c r="AC52" s="39"/>
      <c r="AD52" s="41"/>
      <c r="AE52" s="41"/>
      <c r="AF52" s="41"/>
      <c r="AG52" s="57"/>
      <c r="AH52" s="101"/>
      <c r="AI52" s="31"/>
      <c r="AJ52" s="102"/>
      <c r="AK52" s="101"/>
      <c r="AL52" s="57"/>
      <c r="AM52" s="42"/>
      <c r="AN52" s="42"/>
      <c r="AO52" s="42"/>
      <c r="AP52" s="42"/>
      <c r="AQ52" s="42"/>
      <c r="AR52" s="42"/>
      <c r="AS52" s="42"/>
      <c r="AT52" s="42"/>
      <c r="AU52" s="42"/>
      <c r="AV52" s="42"/>
      <c r="AW52" s="57"/>
      <c r="AX52" s="57"/>
      <c r="AY52" s="103"/>
      <c r="AZ52" s="26" t="n">
        <f aca="false">SUM(C52:AY52)</f>
        <v>11</v>
      </c>
      <c r="BA52" s="37"/>
    </row>
    <row r="53" customFormat="false" ht="14.25" hidden="false" customHeight="false" outlineLevel="0" collapsed="false">
      <c r="A53" s="52" t="s">
        <v>152</v>
      </c>
      <c r="B53" s="29" t="s">
        <v>153</v>
      </c>
      <c r="C53" s="89" t="n">
        <v>3</v>
      </c>
      <c r="D53" s="41"/>
      <c r="E53" s="41"/>
      <c r="F53" s="41"/>
      <c r="G53" s="57"/>
      <c r="H53" s="104"/>
      <c r="I53" s="105"/>
      <c r="J53" s="45"/>
      <c r="K53" s="55" t="n">
        <v>1</v>
      </c>
      <c r="L53" s="40"/>
      <c r="M53" s="40"/>
      <c r="N53" s="41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40"/>
      <c r="AE53" s="40"/>
      <c r="AF53" s="40"/>
      <c r="AG53" s="40"/>
      <c r="AH53" s="45"/>
      <c r="AI53" s="31"/>
      <c r="AJ53" s="46"/>
      <c r="AK53" s="45"/>
      <c r="AL53" s="40"/>
      <c r="AM53" s="40"/>
      <c r="AN53" s="40"/>
      <c r="AO53" s="40"/>
      <c r="AP53" s="40"/>
      <c r="AQ53" s="40"/>
      <c r="AR53" s="40"/>
      <c r="AS53" s="40"/>
      <c r="AT53" s="40"/>
      <c r="AU53" s="40"/>
      <c r="AV53" s="40"/>
      <c r="AW53" s="41"/>
      <c r="AX53" s="41"/>
      <c r="AY53" s="65"/>
      <c r="AZ53" s="26" t="n">
        <f aca="false">SUM(C53:AY53)</f>
        <v>4</v>
      </c>
      <c r="BA53" s="37"/>
    </row>
    <row r="54" customFormat="false" ht="15" hidden="false" customHeight="false" outlineLevel="0" collapsed="false">
      <c r="A54" s="38" t="s">
        <v>154</v>
      </c>
      <c r="B54" s="29" t="s">
        <v>155</v>
      </c>
      <c r="C54" s="97" t="n">
        <v>1</v>
      </c>
      <c r="D54" s="41"/>
      <c r="E54" s="41"/>
      <c r="F54" s="40"/>
      <c r="G54" s="41"/>
      <c r="H54" s="41"/>
      <c r="I54" s="41"/>
      <c r="J54" s="40"/>
      <c r="K54" s="40"/>
      <c r="L54" s="95"/>
      <c r="M54" s="40"/>
      <c r="N54" s="40"/>
      <c r="O54" s="40"/>
      <c r="P54" s="40"/>
      <c r="Q54" s="40"/>
      <c r="R54" s="40"/>
      <c r="S54" s="40"/>
      <c r="T54" s="40"/>
      <c r="U54" s="31"/>
      <c r="V54" s="42"/>
      <c r="W54" s="40"/>
      <c r="X54" s="40"/>
      <c r="Y54" s="40"/>
      <c r="Z54" s="40"/>
      <c r="AA54" s="40"/>
      <c r="AB54" s="40"/>
      <c r="AC54" s="40"/>
      <c r="AD54" s="40"/>
      <c r="AE54" s="40"/>
      <c r="AF54" s="40"/>
      <c r="AG54" s="40"/>
      <c r="AH54" s="45"/>
      <c r="AI54" s="31"/>
      <c r="AJ54" s="46"/>
      <c r="AK54" s="45"/>
      <c r="AL54" s="40"/>
      <c r="AM54" s="40"/>
      <c r="AN54" s="40"/>
      <c r="AO54" s="40"/>
      <c r="AP54" s="40"/>
      <c r="AQ54" s="40"/>
      <c r="AR54" s="40"/>
      <c r="AS54" s="40"/>
      <c r="AT54" s="40"/>
      <c r="AU54" s="40"/>
      <c r="AV54" s="40"/>
      <c r="AW54" s="40"/>
      <c r="AX54" s="40"/>
      <c r="AY54" s="47"/>
      <c r="AZ54" s="26" t="n">
        <f aca="false">SUM(C54:AY54)</f>
        <v>1</v>
      </c>
      <c r="BA54" s="48"/>
    </row>
    <row r="55" customFormat="false" ht="15" hidden="false" customHeight="false" outlineLevel="0" collapsed="false">
      <c r="A55" s="52" t="s">
        <v>156</v>
      </c>
      <c r="B55" s="29" t="s">
        <v>157</v>
      </c>
      <c r="C55" s="89" t="n">
        <v>5</v>
      </c>
      <c r="D55" s="55" t="n">
        <v>2</v>
      </c>
      <c r="E55" s="42"/>
      <c r="F55" s="42"/>
      <c r="G55" s="42"/>
      <c r="H55" s="95"/>
      <c r="I55" s="41"/>
      <c r="J55" s="40"/>
      <c r="K55" s="40"/>
      <c r="L55" s="31"/>
      <c r="M55" s="31"/>
      <c r="N55" s="41"/>
      <c r="O55" s="40"/>
      <c r="P55" s="41"/>
      <c r="Q55" s="40"/>
      <c r="R55" s="42"/>
      <c r="S55" s="40"/>
      <c r="T55" s="40"/>
      <c r="U55" s="42"/>
      <c r="V55" s="40"/>
      <c r="W55" s="40"/>
      <c r="X55" s="40"/>
      <c r="Y55" s="40"/>
      <c r="Z55" s="40"/>
      <c r="AA55" s="40"/>
      <c r="AB55" s="40"/>
      <c r="AC55" s="40"/>
      <c r="AD55" s="71"/>
      <c r="AE55" s="71"/>
      <c r="AF55" s="40"/>
      <c r="AG55" s="40"/>
      <c r="AH55" s="45"/>
      <c r="AI55" s="31"/>
      <c r="AJ55" s="46"/>
      <c r="AK55" s="45"/>
      <c r="AL55" s="40"/>
      <c r="AM55" s="41"/>
      <c r="AN55" s="40"/>
      <c r="AO55" s="40"/>
      <c r="AP55" s="40"/>
      <c r="AQ55" s="40"/>
      <c r="AR55" s="40"/>
      <c r="AS55" s="40"/>
      <c r="AT55" s="40"/>
      <c r="AU55" s="40"/>
      <c r="AV55" s="40"/>
      <c r="AW55" s="40"/>
      <c r="AX55" s="40"/>
      <c r="AY55" s="47"/>
      <c r="AZ55" s="26" t="n">
        <f aca="false">SUM(C55:AY55)</f>
        <v>7</v>
      </c>
      <c r="BA55" s="48"/>
    </row>
    <row r="56" customFormat="false" ht="15" hidden="false" customHeight="false" outlineLevel="0" collapsed="false">
      <c r="A56" s="52" t="s">
        <v>158</v>
      </c>
      <c r="B56" s="29" t="s">
        <v>159</v>
      </c>
      <c r="C56" s="106"/>
      <c r="D56" s="42"/>
      <c r="E56" s="42"/>
      <c r="F56" s="42"/>
      <c r="G56" s="42"/>
      <c r="H56" s="95"/>
      <c r="I56" s="107"/>
      <c r="J56" s="108"/>
      <c r="K56" s="108"/>
      <c r="L56" s="109"/>
      <c r="M56" s="110"/>
      <c r="N56" s="111"/>
      <c r="O56" s="108"/>
      <c r="P56" s="107"/>
      <c r="Q56" s="108"/>
      <c r="R56" s="112"/>
      <c r="S56" s="108"/>
      <c r="T56" s="108"/>
      <c r="U56" s="112"/>
      <c r="V56" s="108"/>
      <c r="W56" s="108"/>
      <c r="X56" s="108"/>
      <c r="Y56" s="108"/>
      <c r="Z56" s="108"/>
      <c r="AA56" s="108"/>
      <c r="AB56" s="108"/>
      <c r="AC56" s="108"/>
      <c r="AD56" s="113"/>
      <c r="AE56" s="113"/>
      <c r="AF56" s="108"/>
      <c r="AG56" s="108"/>
      <c r="AH56" s="114"/>
      <c r="AI56" s="110"/>
      <c r="AJ56" s="115"/>
      <c r="AK56" s="114"/>
      <c r="AL56" s="108"/>
      <c r="AM56" s="107"/>
      <c r="AN56" s="108"/>
      <c r="AO56" s="108"/>
      <c r="AP56" s="108"/>
      <c r="AQ56" s="108"/>
      <c r="AR56" s="108"/>
      <c r="AS56" s="108"/>
      <c r="AT56" s="108"/>
      <c r="AU56" s="108"/>
      <c r="AV56" s="108"/>
      <c r="AW56" s="108"/>
      <c r="AX56" s="108"/>
      <c r="AY56" s="116"/>
      <c r="AZ56" s="26" t="n">
        <f aca="false">SUM(C56:AY56)</f>
        <v>0</v>
      </c>
      <c r="BA56" s="48"/>
    </row>
    <row r="57" customFormat="false" ht="15" hidden="false" customHeight="false" outlineLevel="0" collapsed="false">
      <c r="A57" s="52" t="s">
        <v>160</v>
      </c>
      <c r="B57" s="117" t="s">
        <v>161</v>
      </c>
      <c r="C57" s="106"/>
      <c r="D57" s="42"/>
      <c r="E57" s="42"/>
      <c r="F57" s="42"/>
      <c r="G57" s="42"/>
      <c r="H57" s="95"/>
      <c r="I57" s="107"/>
      <c r="J57" s="108"/>
      <c r="K57" s="108"/>
      <c r="L57" s="109"/>
      <c r="M57" s="110"/>
      <c r="N57" s="111"/>
      <c r="O57" s="108"/>
      <c r="P57" s="107"/>
      <c r="Q57" s="108"/>
      <c r="R57" s="112"/>
      <c r="S57" s="118" t="n">
        <v>1</v>
      </c>
      <c r="T57" s="108"/>
      <c r="U57" s="112"/>
      <c r="V57" s="108"/>
      <c r="W57" s="108"/>
      <c r="X57" s="108"/>
      <c r="Y57" s="108"/>
      <c r="Z57" s="108"/>
      <c r="AA57" s="108"/>
      <c r="AB57" s="108"/>
      <c r="AC57" s="108"/>
      <c r="AD57" s="113"/>
      <c r="AE57" s="113"/>
      <c r="AF57" s="108"/>
      <c r="AG57" s="108"/>
      <c r="AH57" s="114"/>
      <c r="AI57" s="110"/>
      <c r="AJ57" s="115"/>
      <c r="AK57" s="114"/>
      <c r="AL57" s="108"/>
      <c r="AM57" s="107"/>
      <c r="AN57" s="108"/>
      <c r="AO57" s="108"/>
      <c r="AP57" s="108"/>
      <c r="AQ57" s="108"/>
      <c r="AR57" s="108"/>
      <c r="AS57" s="108"/>
      <c r="AT57" s="108"/>
      <c r="AU57" s="108"/>
      <c r="AV57" s="108"/>
      <c r="AW57" s="108"/>
      <c r="AX57" s="108"/>
      <c r="AY57" s="116"/>
      <c r="AZ57" s="26"/>
      <c r="BA57" s="48"/>
    </row>
    <row r="58" customFormat="false" ht="15" hidden="false" customHeight="false" outlineLevel="0" collapsed="false">
      <c r="A58" s="52" t="s">
        <v>162</v>
      </c>
      <c r="B58" s="119" t="s">
        <v>163</v>
      </c>
      <c r="C58" s="120" t="n">
        <v>12</v>
      </c>
      <c r="D58" s="121"/>
      <c r="E58" s="122"/>
      <c r="F58" s="122"/>
      <c r="G58" s="122"/>
      <c r="H58" s="122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  <c r="AD58" s="123"/>
      <c r="AE58" s="123"/>
      <c r="AF58" s="123"/>
      <c r="AG58" s="123"/>
      <c r="AH58" s="124"/>
      <c r="AI58" s="125"/>
      <c r="AJ58" s="126"/>
      <c r="AK58" s="124"/>
      <c r="AL58" s="123"/>
      <c r="AM58" s="123"/>
      <c r="AN58" s="123"/>
      <c r="AO58" s="123"/>
      <c r="AP58" s="123"/>
      <c r="AQ58" s="123"/>
      <c r="AR58" s="123"/>
      <c r="AS58" s="123"/>
      <c r="AT58" s="123"/>
      <c r="AU58" s="123"/>
      <c r="AV58" s="123"/>
      <c r="AW58" s="123"/>
      <c r="AX58" s="123"/>
      <c r="AY58" s="127"/>
      <c r="AZ58" s="26" t="n">
        <f aca="false">SUM(C58:AY58)</f>
        <v>12</v>
      </c>
      <c r="BA58" s="48"/>
    </row>
    <row r="59" customFormat="false" ht="15" hidden="false" customHeight="false" outlineLevel="0" collapsed="false">
      <c r="A59" s="128" t="s">
        <v>164</v>
      </c>
      <c r="B59" s="129"/>
      <c r="C59" s="130" t="n">
        <f aca="false">SUM(C2:C58)</f>
        <v>34</v>
      </c>
      <c r="D59" s="130" t="n">
        <f aca="false">SUM(D2:D58)</f>
        <v>17</v>
      </c>
      <c r="E59" s="130" t="n">
        <f aca="false">SUM(E2:E58)</f>
        <v>0</v>
      </c>
      <c r="F59" s="130" t="n">
        <f aca="false">SUM(F2:F58)</f>
        <v>0</v>
      </c>
      <c r="G59" s="130" t="n">
        <f aca="false">SUM(G2:G58)</f>
        <v>0</v>
      </c>
      <c r="H59" s="130" t="n">
        <f aca="false">SUM(H2:H58)</f>
        <v>18</v>
      </c>
      <c r="I59" s="130" t="n">
        <f aca="false">SUM(I2:I58)</f>
        <v>9</v>
      </c>
      <c r="J59" s="130" t="n">
        <f aca="false">SUM(J2:J58)</f>
        <v>0</v>
      </c>
      <c r="K59" s="130" t="n">
        <f aca="false">SUM(K2:K58)</f>
        <v>4</v>
      </c>
      <c r="L59" s="130" t="n">
        <f aca="false">SUM(L2:L58)</f>
        <v>1</v>
      </c>
      <c r="M59" s="130" t="n">
        <f aca="false">SUM(M2:M58)</f>
        <v>10</v>
      </c>
      <c r="N59" s="130" t="n">
        <f aca="false">SUM(N2:N58)</f>
        <v>5</v>
      </c>
      <c r="O59" s="130" t="n">
        <f aca="false">SUM(O2:O58)</f>
        <v>1</v>
      </c>
      <c r="P59" s="130" t="n">
        <f aca="false">SUM(P2:P58)</f>
        <v>0</v>
      </c>
      <c r="Q59" s="130" t="n">
        <f aca="false">SUM(Q2:Q58)</f>
        <v>2</v>
      </c>
      <c r="R59" s="130" t="n">
        <f aca="false">SUM(R2:R58)</f>
        <v>2</v>
      </c>
      <c r="S59" s="130" t="n">
        <f aca="false">SUM(S2:S58)</f>
        <v>2</v>
      </c>
      <c r="T59" s="130" t="n">
        <f aca="false">SUM(T2:T58)</f>
        <v>0</v>
      </c>
      <c r="U59" s="130" t="n">
        <f aca="false">SUM(U2:U58)</f>
        <v>5</v>
      </c>
      <c r="V59" s="130" t="n">
        <f aca="false">SUM(V2:V58)</f>
        <v>0</v>
      </c>
      <c r="W59" s="130" t="n">
        <f aca="false">SUM(W2:W58)</f>
        <v>0</v>
      </c>
      <c r="X59" s="130" t="n">
        <f aca="false">SUM(X2:X58)</f>
        <v>1</v>
      </c>
      <c r="Y59" s="130" t="n">
        <f aca="false">SUM(Y2:Y58)</f>
        <v>0</v>
      </c>
      <c r="Z59" s="130" t="n">
        <f aca="false">SUM(Z2:Z58)</f>
        <v>1</v>
      </c>
      <c r="AA59" s="130" t="n">
        <f aca="false">SUM(AA2:AA58)</f>
        <v>2</v>
      </c>
      <c r="AB59" s="130" t="n">
        <f aca="false">SUM(AB2:AB58)</f>
        <v>0</v>
      </c>
      <c r="AC59" s="130" t="n">
        <f aca="false">SUM(AC2:AC58)</f>
        <v>4</v>
      </c>
      <c r="AD59" s="130" t="n">
        <f aca="false">SUM(AD2:AD58)</f>
        <v>4</v>
      </c>
      <c r="AE59" s="130" t="n">
        <f aca="false">SUM(AE2:AE58)</f>
        <v>0</v>
      </c>
      <c r="AF59" s="130" t="n">
        <f aca="false">SUM(AF2:AF58)</f>
        <v>0</v>
      </c>
      <c r="AG59" s="130" t="n">
        <f aca="false">SUM(AG2:AG58)</f>
        <v>0</v>
      </c>
      <c r="AH59" s="130" t="n">
        <f aca="false">SUM(AH2:AH58)</f>
        <v>4</v>
      </c>
      <c r="AI59" s="130" t="n">
        <f aca="false">SUM(AI2:AI58)</f>
        <v>1</v>
      </c>
      <c r="AJ59" s="130" t="n">
        <f aca="false">SUM(AJ2:AJ58)</f>
        <v>1</v>
      </c>
      <c r="AK59" s="130" t="n">
        <f aca="false">SUM(AK2:AK58)</f>
        <v>0</v>
      </c>
      <c r="AL59" s="130" t="n">
        <f aca="false">SUM(AL2:AL58)</f>
        <v>0</v>
      </c>
      <c r="AM59" s="130" t="n">
        <f aca="false">SUM(AM2:AM58)</f>
        <v>0</v>
      </c>
      <c r="AN59" s="130" t="n">
        <f aca="false">SUM(AN2:AN58)</f>
        <v>0</v>
      </c>
      <c r="AO59" s="130" t="n">
        <f aca="false">SUM(AO2:AO58)</f>
        <v>0</v>
      </c>
      <c r="AP59" s="130" t="n">
        <f aca="false">SUM(AP2:AP58)</f>
        <v>0</v>
      </c>
      <c r="AQ59" s="130" t="n">
        <f aca="false">SUM(AQ2:AQ58)</f>
        <v>0</v>
      </c>
      <c r="AR59" s="130" t="n">
        <f aca="false">SUM(AR2:AR58)</f>
        <v>0</v>
      </c>
      <c r="AS59" s="130" t="n">
        <f aca="false">SUM(AS2:AS58)</f>
        <v>0</v>
      </c>
      <c r="AT59" s="130" t="n">
        <f aca="false">SUM(AT2:AT58)</f>
        <v>0</v>
      </c>
      <c r="AU59" s="130" t="n">
        <f aca="false">SUM(AU2:AU58)</f>
        <v>1</v>
      </c>
      <c r="AV59" s="130" t="n">
        <f aca="false">SUM(AV2:AV58)</f>
        <v>0</v>
      </c>
      <c r="AW59" s="130" t="n">
        <f aca="false">SUM(AW2:AW58)</f>
        <v>3</v>
      </c>
      <c r="AX59" s="130" t="n">
        <f aca="false">SUM(AX2:AX58)</f>
        <v>3</v>
      </c>
      <c r="AY59" s="130" t="n">
        <f aca="false">SUM(AY2:AY58)</f>
        <v>0</v>
      </c>
      <c r="AZ59" s="131" t="n">
        <f aca="false">SUM(C59:AY59)</f>
        <v>135</v>
      </c>
      <c r="BA59" s="132"/>
    </row>
    <row r="60" customFormat="false" ht="15" hidden="false" customHeight="false" outlineLevel="0" collapsed="false">
      <c r="A60" s="133" t="s">
        <v>165</v>
      </c>
      <c r="B60" s="134" t="s">
        <v>166</v>
      </c>
      <c r="C60" s="135"/>
      <c r="D60" s="135"/>
      <c r="E60" s="135"/>
      <c r="F60" s="135"/>
      <c r="G60" s="136"/>
      <c r="H60" s="135"/>
      <c r="I60" s="136"/>
      <c r="J60" s="135"/>
      <c r="K60" s="135"/>
      <c r="L60" s="137"/>
      <c r="M60" s="135"/>
      <c r="N60" s="135"/>
      <c r="O60" s="135"/>
      <c r="P60" s="135"/>
      <c r="Q60" s="135"/>
      <c r="R60" s="135"/>
      <c r="S60" s="135"/>
      <c r="T60" s="135"/>
      <c r="U60" s="138"/>
      <c r="V60" s="139"/>
      <c r="W60" s="139"/>
      <c r="X60" s="139"/>
      <c r="Y60" s="43"/>
      <c r="Z60" s="135"/>
      <c r="AA60" s="135"/>
      <c r="AB60" s="135"/>
      <c r="AC60" s="21"/>
      <c r="AD60" s="21"/>
      <c r="AE60" s="21"/>
      <c r="AF60" s="21"/>
      <c r="AG60" s="21"/>
      <c r="AH60" s="21"/>
      <c r="AI60" s="23"/>
      <c r="AJ60" s="21"/>
      <c r="AK60" s="21"/>
      <c r="AL60" s="21"/>
      <c r="AM60" s="21"/>
      <c r="AN60" s="21"/>
      <c r="AO60" s="21"/>
      <c r="AP60" s="21"/>
      <c r="AQ60" s="21"/>
      <c r="AR60" s="21"/>
      <c r="AS60" s="21"/>
      <c r="AT60" s="21"/>
      <c r="AU60" s="21"/>
      <c r="AV60" s="21"/>
      <c r="AW60" s="21"/>
      <c r="AX60" s="21"/>
      <c r="AY60" s="140"/>
      <c r="AZ60" s="141" t="n">
        <f aca="false">SUM(C60:AY60)</f>
        <v>0</v>
      </c>
      <c r="BA60" s="26"/>
    </row>
    <row r="61" customFormat="false" ht="14.25" hidden="false" customHeight="false" outlineLevel="0" collapsed="false">
      <c r="A61" s="142" t="s">
        <v>167</v>
      </c>
      <c r="B61" s="143" t="s">
        <v>168</v>
      </c>
      <c r="C61" s="33"/>
      <c r="D61" s="33"/>
      <c r="E61" s="33"/>
      <c r="F61" s="33"/>
      <c r="G61" s="33"/>
      <c r="H61" s="31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41"/>
      <c r="X61" s="41"/>
      <c r="Y61" s="135"/>
      <c r="Z61" s="33"/>
      <c r="AA61" s="39"/>
      <c r="AB61" s="39"/>
      <c r="AC61" s="39"/>
      <c r="AD61" s="33"/>
      <c r="AE61" s="33"/>
      <c r="AF61" s="33"/>
      <c r="AG61" s="33"/>
      <c r="AH61" s="33"/>
      <c r="AI61" s="31"/>
      <c r="AJ61" s="33"/>
      <c r="AK61" s="33"/>
      <c r="AL61" s="33"/>
      <c r="AM61" s="33"/>
      <c r="AN61" s="33"/>
      <c r="AO61" s="33"/>
      <c r="AP61" s="33"/>
      <c r="AQ61" s="33"/>
      <c r="AR61" s="33"/>
      <c r="AS61" s="33"/>
      <c r="AT61" s="33"/>
      <c r="AU61" s="33"/>
      <c r="AV61" s="33"/>
      <c r="AW61" s="33"/>
      <c r="AX61" s="33"/>
      <c r="AY61" s="144"/>
      <c r="AZ61" s="141" t="n">
        <f aca="false">SUM(C61:AY61)</f>
        <v>0</v>
      </c>
      <c r="BA61" s="145"/>
    </row>
    <row r="62" customFormat="false" ht="14.25" hidden="false" customHeight="false" outlineLevel="0" collapsed="false">
      <c r="A62" s="52" t="s">
        <v>169</v>
      </c>
      <c r="B62" s="143" t="s">
        <v>168</v>
      </c>
      <c r="C62" s="146"/>
      <c r="D62" s="33"/>
      <c r="E62" s="33"/>
      <c r="F62" s="33"/>
      <c r="G62" s="33"/>
      <c r="H62" s="31"/>
      <c r="I62" s="33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55" t="n">
        <v>1</v>
      </c>
      <c r="X62" s="41"/>
      <c r="Y62" s="135"/>
      <c r="Z62" s="33"/>
      <c r="AA62" s="39"/>
      <c r="AB62" s="39"/>
      <c r="AC62" s="39"/>
      <c r="AD62" s="33"/>
      <c r="AE62" s="33"/>
      <c r="AF62" s="33"/>
      <c r="AG62" s="33"/>
      <c r="AH62" s="33"/>
      <c r="AI62" s="31"/>
      <c r="AJ62" s="33"/>
      <c r="AK62" s="33"/>
      <c r="AL62" s="33"/>
      <c r="AM62" s="33"/>
      <c r="AN62" s="33"/>
      <c r="AO62" s="33"/>
      <c r="AP62" s="33"/>
      <c r="AQ62" s="33"/>
      <c r="AR62" s="33"/>
      <c r="AS62" s="33"/>
      <c r="AT62" s="33"/>
      <c r="AU62" s="33"/>
      <c r="AV62" s="33"/>
      <c r="AW62" s="33"/>
      <c r="AX62" s="33"/>
      <c r="AY62" s="144"/>
      <c r="AZ62" s="141" t="n">
        <f aca="false">SUM(C62:AY62)</f>
        <v>1</v>
      </c>
      <c r="BA62" s="145"/>
    </row>
    <row r="63" customFormat="false" ht="15" hidden="false" customHeight="false" outlineLevel="0" collapsed="false">
      <c r="A63" s="147" t="s">
        <v>170</v>
      </c>
      <c r="B63" s="143" t="s">
        <v>171</v>
      </c>
      <c r="C63" s="85"/>
      <c r="D63" s="41"/>
      <c r="E63" s="41"/>
      <c r="F63" s="41"/>
      <c r="G63" s="50"/>
      <c r="H63" s="41"/>
      <c r="I63" s="41"/>
      <c r="J63" s="50"/>
      <c r="K63" s="41"/>
      <c r="L63" s="50"/>
      <c r="M63" s="50"/>
      <c r="N63" s="50"/>
      <c r="O63" s="50"/>
      <c r="P63" s="50"/>
      <c r="Q63" s="50"/>
      <c r="R63" s="41"/>
      <c r="S63" s="50"/>
      <c r="T63" s="41"/>
      <c r="U63" s="41"/>
      <c r="V63" s="41"/>
      <c r="W63" s="41"/>
      <c r="X63" s="42"/>
      <c r="Y63" s="50"/>
      <c r="Z63" s="50"/>
      <c r="AA63" s="41"/>
      <c r="AB63" s="41"/>
      <c r="AC63" s="41"/>
      <c r="AD63" s="41"/>
      <c r="AE63" s="41"/>
      <c r="AF63" s="50"/>
      <c r="AG63" s="41"/>
      <c r="AH63" s="41"/>
      <c r="AI63" s="31"/>
      <c r="AJ63" s="41"/>
      <c r="AK63" s="41"/>
      <c r="AL63" s="41"/>
      <c r="AM63" s="50"/>
      <c r="AN63" s="50"/>
      <c r="AO63" s="50"/>
      <c r="AP63" s="50"/>
      <c r="AQ63" s="50"/>
      <c r="AR63" s="50"/>
      <c r="AS63" s="50"/>
      <c r="AT63" s="50"/>
      <c r="AU63" s="50"/>
      <c r="AV63" s="50"/>
      <c r="AW63" s="41"/>
      <c r="AX63" s="41"/>
      <c r="AY63" s="60"/>
      <c r="AZ63" s="141" t="n">
        <f aca="false">SUM(C63:AY63)</f>
        <v>0</v>
      </c>
      <c r="BA63" s="145"/>
    </row>
    <row r="64" customFormat="false" ht="14.25" hidden="false" customHeight="false" outlineLevel="0" collapsed="false">
      <c r="A64" s="142" t="s">
        <v>172</v>
      </c>
      <c r="B64" s="148" t="s">
        <v>173</v>
      </c>
      <c r="C64" s="33"/>
      <c r="D64" s="33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67" t="n">
        <v>1</v>
      </c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33"/>
      <c r="AI64" s="31"/>
      <c r="AJ64" s="33"/>
      <c r="AK64" s="33"/>
      <c r="AL64" s="33"/>
      <c r="AM64" s="33"/>
      <c r="AN64" s="33"/>
      <c r="AO64" s="33"/>
      <c r="AP64" s="33"/>
      <c r="AQ64" s="33"/>
      <c r="AR64" s="33"/>
      <c r="AS64" s="33"/>
      <c r="AT64" s="33"/>
      <c r="AU64" s="33"/>
      <c r="AV64" s="33"/>
      <c r="AW64" s="33"/>
      <c r="AX64" s="33"/>
      <c r="AY64" s="144"/>
      <c r="AZ64" s="141" t="n">
        <f aca="false">SUM(C64:AY64)</f>
        <v>1</v>
      </c>
      <c r="BA64" s="145"/>
    </row>
    <row r="65" customFormat="false" ht="17.35" hidden="false" customHeight="false" outlineLevel="0" collapsed="false">
      <c r="A65" s="149" t="s">
        <v>174</v>
      </c>
      <c r="B65" s="143" t="s">
        <v>124</v>
      </c>
      <c r="C65" s="150"/>
      <c r="D65" s="150"/>
      <c r="E65" s="150"/>
      <c r="F65" s="150"/>
      <c r="G65" s="151"/>
      <c r="H65" s="150"/>
      <c r="I65" s="150"/>
      <c r="J65" s="150"/>
      <c r="K65" s="150"/>
      <c r="L65" s="150"/>
      <c r="M65" s="150"/>
      <c r="N65" s="150"/>
      <c r="O65" s="150"/>
      <c r="P65" s="150"/>
      <c r="Q65" s="150"/>
      <c r="R65" s="150"/>
      <c r="S65" s="150"/>
      <c r="T65" s="150"/>
      <c r="U65" s="150"/>
      <c r="V65" s="150"/>
      <c r="W65" s="152"/>
      <c r="X65" s="152"/>
      <c r="Y65" s="153"/>
      <c r="Z65" s="150"/>
      <c r="AA65" s="150"/>
      <c r="AB65" s="150"/>
      <c r="AC65" s="150"/>
      <c r="AD65" s="150"/>
      <c r="AE65" s="150"/>
      <c r="AF65" s="150"/>
      <c r="AG65" s="150"/>
      <c r="AH65" s="150"/>
      <c r="AI65" s="154"/>
      <c r="AJ65" s="150"/>
      <c r="AK65" s="150"/>
      <c r="AL65" s="150"/>
      <c r="AM65" s="150"/>
      <c r="AN65" s="150"/>
      <c r="AO65" s="150"/>
      <c r="AP65" s="150"/>
      <c r="AQ65" s="150"/>
      <c r="AR65" s="150"/>
      <c r="AS65" s="150"/>
      <c r="AT65" s="150"/>
      <c r="AU65" s="150"/>
      <c r="AV65" s="150"/>
      <c r="AW65" s="155"/>
      <c r="AX65" s="156"/>
      <c r="AY65" s="155"/>
      <c r="AZ65" s="141" t="n">
        <f aca="false">SUM(C65:AY65)</f>
        <v>0</v>
      </c>
      <c r="BA65" s="157"/>
    </row>
    <row r="66" customFormat="false" ht="14.25" hidden="false" customHeight="false" outlineLevel="0" collapsed="false">
      <c r="A66" s="142" t="s">
        <v>175</v>
      </c>
      <c r="B66" s="148" t="s">
        <v>176</v>
      </c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67" t="n">
        <v>5</v>
      </c>
      <c r="X66" s="33"/>
      <c r="Y66" s="33"/>
      <c r="Z66" s="33"/>
      <c r="AA66" s="33"/>
      <c r="AB66" s="33"/>
      <c r="AC66" s="33"/>
      <c r="AD66" s="33" t="s">
        <v>177</v>
      </c>
      <c r="AE66" s="33"/>
      <c r="AF66" s="33"/>
      <c r="AG66" s="33"/>
      <c r="AH66" s="33"/>
      <c r="AI66" s="31"/>
      <c r="AJ66" s="33"/>
      <c r="AK66" s="33"/>
      <c r="AL66" s="33"/>
      <c r="AM66" s="33"/>
      <c r="AN66" s="33"/>
      <c r="AO66" s="33"/>
      <c r="AP66" s="33"/>
      <c r="AQ66" s="33"/>
      <c r="AR66" s="33"/>
      <c r="AS66" s="33"/>
      <c r="AT66" s="33"/>
      <c r="AU66" s="33"/>
      <c r="AV66" s="33"/>
      <c r="AW66" s="33"/>
      <c r="AX66" s="33"/>
      <c r="AY66" s="144"/>
      <c r="AZ66" s="141" t="n">
        <f aca="false">SUM(C66:AY66)</f>
        <v>5</v>
      </c>
      <c r="BA66" s="145"/>
    </row>
    <row r="67" customFormat="false" ht="17.35" hidden="false" customHeight="false" outlineLevel="0" collapsed="false">
      <c r="A67" s="158" t="s">
        <v>178</v>
      </c>
      <c r="B67" s="159" t="s">
        <v>179</v>
      </c>
      <c r="C67" s="160"/>
      <c r="D67" s="160"/>
      <c r="E67" s="160"/>
      <c r="F67" s="160"/>
      <c r="G67" s="161"/>
      <c r="H67" s="160"/>
      <c r="I67" s="160"/>
      <c r="J67" s="160"/>
      <c r="K67" s="160"/>
      <c r="L67" s="160"/>
      <c r="M67" s="160"/>
      <c r="N67" s="160"/>
      <c r="O67" s="160"/>
      <c r="P67" s="162" t="n">
        <v>2</v>
      </c>
      <c r="Q67" s="160"/>
      <c r="R67" s="160"/>
      <c r="S67" s="160"/>
      <c r="T67" s="160"/>
      <c r="U67" s="160"/>
      <c r="V67" s="160"/>
      <c r="W67" s="163" t="n">
        <v>6</v>
      </c>
      <c r="X67" s="164"/>
      <c r="Y67" s="111"/>
      <c r="Z67" s="160"/>
      <c r="AA67" s="160"/>
      <c r="AB67" s="160"/>
      <c r="AC67" s="160"/>
      <c r="AD67" s="160"/>
      <c r="AE67" s="160"/>
      <c r="AF67" s="160"/>
      <c r="AG67" s="160"/>
      <c r="AH67" s="160"/>
      <c r="AI67" s="110"/>
      <c r="AJ67" s="160"/>
      <c r="AK67" s="160"/>
      <c r="AL67" s="160"/>
      <c r="AM67" s="160"/>
      <c r="AN67" s="160"/>
      <c r="AO67" s="160"/>
      <c r="AP67" s="160"/>
      <c r="AQ67" s="160"/>
      <c r="AR67" s="160"/>
      <c r="AS67" s="160"/>
      <c r="AT67" s="160"/>
      <c r="AU67" s="160"/>
      <c r="AV67" s="160"/>
      <c r="AW67" s="160"/>
      <c r="AX67" s="160"/>
      <c r="AY67" s="165"/>
      <c r="AZ67" s="166" t="n">
        <f aca="false">SUM(C67:AY67)</f>
        <v>8</v>
      </c>
      <c r="BA67" s="167"/>
    </row>
    <row r="68" customFormat="false" ht="19.7" hidden="false" customHeight="false" outlineLevel="0" collapsed="false">
      <c r="A68" s="168" t="s">
        <v>180</v>
      </c>
      <c r="B68" s="169"/>
      <c r="C68" s="170" t="n">
        <f aca="false">SUM(C60:C67)</f>
        <v>0</v>
      </c>
      <c r="D68" s="170" t="n">
        <f aca="false">SUM(D60:D67)</f>
        <v>0</v>
      </c>
      <c r="E68" s="170" t="n">
        <f aca="false">SUM(E60:E67)</f>
        <v>0</v>
      </c>
      <c r="F68" s="170" t="n">
        <f aca="false">SUM(F60:F67)</f>
        <v>0</v>
      </c>
      <c r="G68" s="170" t="n">
        <f aca="false">SUM(G60:G67)</f>
        <v>0</v>
      </c>
      <c r="H68" s="170" t="n">
        <f aca="false">SUM(H60:H67)</f>
        <v>0</v>
      </c>
      <c r="I68" s="170" t="n">
        <f aca="false">SUM(I60:I67)</f>
        <v>0</v>
      </c>
      <c r="J68" s="170" t="n">
        <f aca="false">SUM(J60:J67)</f>
        <v>0</v>
      </c>
      <c r="K68" s="170" t="n">
        <f aca="false">SUM(K60:K67)</f>
        <v>0</v>
      </c>
      <c r="L68" s="170" t="n">
        <f aca="false">SUM(L60:L67)</f>
        <v>0</v>
      </c>
      <c r="M68" s="170" t="n">
        <f aca="false">SUM(M60:M67)</f>
        <v>0</v>
      </c>
      <c r="N68" s="170" t="n">
        <f aca="false">SUM(N60:N67)</f>
        <v>0</v>
      </c>
      <c r="O68" s="170" t="n">
        <f aca="false">SUM(O60:O67)</f>
        <v>0</v>
      </c>
      <c r="P68" s="170" t="n">
        <f aca="false">SUM(P60:P67)</f>
        <v>2</v>
      </c>
      <c r="Q68" s="170" t="n">
        <f aca="false">SUM(Q60:Q67)</f>
        <v>0</v>
      </c>
      <c r="R68" s="170" t="n">
        <f aca="false">SUM(R60:R67)</f>
        <v>0</v>
      </c>
      <c r="S68" s="170" t="n">
        <f aca="false">SUM(S60:S67)</f>
        <v>0</v>
      </c>
      <c r="T68" s="170" t="n">
        <f aca="false">SUM(T60:T67)</f>
        <v>0</v>
      </c>
      <c r="U68" s="170" t="n">
        <f aca="false">SUM(U60:U67)</f>
        <v>0</v>
      </c>
      <c r="V68" s="170" t="n">
        <f aca="false">SUM(V60:V67)</f>
        <v>0</v>
      </c>
      <c r="W68" s="170" t="n">
        <f aca="false">SUM(W60:W67)</f>
        <v>13</v>
      </c>
      <c r="X68" s="170" t="n">
        <f aca="false">SUM(X60:X67)</f>
        <v>0</v>
      </c>
      <c r="Y68" s="170" t="n">
        <f aca="false">SUM(Y60:Y67)</f>
        <v>0</v>
      </c>
      <c r="Z68" s="170" t="n">
        <f aca="false">SUM(Z60:Z67)</f>
        <v>0</v>
      </c>
      <c r="AA68" s="170" t="n">
        <f aca="false">SUM(AA60:AA67)</f>
        <v>0</v>
      </c>
      <c r="AB68" s="170" t="n">
        <f aca="false">SUM(AB60:AB67)</f>
        <v>0</v>
      </c>
      <c r="AC68" s="170" t="n">
        <f aca="false">SUM(AC60:AC67)</f>
        <v>0</v>
      </c>
      <c r="AD68" s="170" t="n">
        <f aca="false">SUM(AD60:AD67)</f>
        <v>0</v>
      </c>
      <c r="AE68" s="170" t="n">
        <f aca="false">SUM(AE60:AE67)</f>
        <v>0</v>
      </c>
      <c r="AF68" s="170" t="n">
        <f aca="false">SUM(AF60:AF67)</f>
        <v>0</v>
      </c>
      <c r="AG68" s="170" t="n">
        <f aca="false">SUM(AG60:AG67)</f>
        <v>0</v>
      </c>
      <c r="AH68" s="170" t="n">
        <f aca="false">SUM(AH60:AH67)</f>
        <v>0</v>
      </c>
      <c r="AI68" s="170" t="n">
        <f aca="false">SUM(AI60:AI67)</f>
        <v>0</v>
      </c>
      <c r="AJ68" s="170" t="n">
        <f aca="false">SUM(AJ60:AJ67)</f>
        <v>0</v>
      </c>
      <c r="AK68" s="170" t="n">
        <f aca="false">SUM(AK60:AK67)</f>
        <v>0</v>
      </c>
      <c r="AL68" s="170" t="n">
        <f aca="false">SUM(AL60:AL67)</f>
        <v>0</v>
      </c>
      <c r="AM68" s="170" t="n">
        <f aca="false">SUM(AM60:AM67)</f>
        <v>0</v>
      </c>
      <c r="AN68" s="170" t="n">
        <f aca="false">SUM(AN60:AN67)</f>
        <v>0</v>
      </c>
      <c r="AO68" s="170" t="n">
        <f aca="false">SUM(AO60:AO67)</f>
        <v>0</v>
      </c>
      <c r="AP68" s="170" t="n">
        <f aca="false">SUM(AP60:AP67)</f>
        <v>0</v>
      </c>
      <c r="AQ68" s="170" t="n">
        <f aca="false">SUM(AQ60:AQ67)</f>
        <v>0</v>
      </c>
      <c r="AR68" s="170" t="n">
        <f aca="false">SUM(AR60:AR67)</f>
        <v>0</v>
      </c>
      <c r="AS68" s="170" t="n">
        <f aca="false">SUM(AS60:AS67)</f>
        <v>0</v>
      </c>
      <c r="AT68" s="170" t="n">
        <f aca="false">SUM(AT60:AT67)</f>
        <v>0</v>
      </c>
      <c r="AU68" s="170" t="n">
        <f aca="false">SUM(AU60:AU67)</f>
        <v>0</v>
      </c>
      <c r="AV68" s="170" t="n">
        <f aca="false">SUM(AV60:AV67)</f>
        <v>0</v>
      </c>
      <c r="AW68" s="170" t="n">
        <f aca="false">SUM(AW60:AW67)</f>
        <v>0</v>
      </c>
      <c r="AX68" s="170" t="n">
        <f aca="false">SUM(AX60:AX67)</f>
        <v>0</v>
      </c>
      <c r="AY68" s="170" t="n">
        <f aca="false">SUM(AY60:AY67)</f>
        <v>0</v>
      </c>
      <c r="AZ68" s="171" t="n">
        <f aca="false">SUM(C68:AY68)</f>
        <v>15</v>
      </c>
      <c r="BA68" s="172" t="n">
        <f aca="false">AZ59+AZ68</f>
        <v>150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1165</TotalTime>
  <Application>LibreOffice/25.8.4.2$Windows_X86_64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2026-02-19T12:41:52Z</dcterms:created>
  <dc:creator>Kseniya Kholmogorova</dc:creator>
  <dc:description/>
  <dc:language>en-US</dc:language>
  <cp:lastModifiedBy/>
  <dcterms:modified xsi:type="dcterms:W3CDTF">2026-03-12T17:08:11Z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